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F" sheetId="1" r:id="rId5"/>
    <sheet state="visible" name="Supporting Calculations" sheetId="2" r:id="rId6"/>
  </sheets>
  <definedNames/>
  <calcPr/>
</workbook>
</file>

<file path=xl/sharedStrings.xml><?xml version="1.0" encoding="utf-8"?>
<sst xmlns="http://schemas.openxmlformats.org/spreadsheetml/2006/main" count="145" uniqueCount="128">
  <si>
    <t>Monde Nissin Corporation (MONDE)</t>
  </si>
  <si>
    <t>Discounted Cash Flow Analysis</t>
  </si>
  <si>
    <t>(₱ in millions, fiscal year ending December 31)</t>
  </si>
  <si>
    <t>Historical Period</t>
  </si>
  <si>
    <t>CAGR</t>
  </si>
  <si>
    <t>Bridge Yr.</t>
  </si>
  <si>
    <t>Projection Period</t>
  </si>
  <si>
    <t>'23 - '25</t>
  </si>
  <si>
    <t>'26 - '31</t>
  </si>
  <si>
    <t>Enterprise Value: Sensitivity Analysis</t>
  </si>
  <si>
    <t>Sales</t>
  </si>
  <si>
    <t>Exit Multiple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</si>
  <si>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growth</t>
    </r>
  </si>
  <si>
    <t>N/A</t>
  </si>
  <si>
    <t>WACC</t>
  </si>
  <si>
    <t>EBITDA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</si>
  <si>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margin</t>
    </r>
  </si>
  <si>
    <t>Depreciation &amp; Amortization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</si>
  <si>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sales</t>
    </r>
  </si>
  <si>
    <t>EBIT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</si>
  <si>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margin</t>
    </r>
  </si>
  <si>
    <t>Taxes (25%)</t>
  </si>
  <si>
    <t>Valuation Range</t>
  </si>
  <si>
    <t>₱113,409.17 - ₱130,176.37</t>
  </si>
  <si>
    <t>NOPAT</t>
  </si>
  <si>
    <t xml:space="preserve">   Exit Multiple Range</t>
  </si>
  <si>
    <t>6.1x - 7.1x</t>
  </si>
  <si>
    <t>Plus: D&amp;A</t>
  </si>
  <si>
    <t xml:space="preserve">   WACC Range</t>
  </si>
  <si>
    <t>11.0% - 12.0%</t>
  </si>
  <si>
    <t>Less: CapEx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</si>
  <si>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sales</t>
    </r>
  </si>
  <si>
    <t>Less: Inc./(Dec.) in NWC</t>
  </si>
  <si>
    <t>Unlevered Free Cash Flow</t>
  </si>
  <si>
    <t xml:space="preserve">   WACC</t>
  </si>
  <si>
    <t xml:space="preserve">   Discount Period (mid-year convention)</t>
  </si>
  <si>
    <t xml:space="preserve">   Discount Factor</t>
  </si>
  <si>
    <t>Present Value of Free Cash Flow</t>
  </si>
  <si>
    <t>Enterprise Value</t>
  </si>
  <si>
    <t>Implied Equity Value and Share Price</t>
  </si>
  <si>
    <t>Implied Perpetuity Growth Rate</t>
  </si>
  <si>
    <t>Cumulative Present Value of FCF</t>
  </si>
  <si>
    <t>Terminal Value (EMM)</t>
  </si>
  <si>
    <t>Less: Total Debt</t>
  </si>
  <si>
    <t>Terminal Yr. EBITDA</t>
  </si>
  <si>
    <t>Less: Preferred Stock</t>
  </si>
  <si>
    <t>-</t>
  </si>
  <si>
    <t>FCF (Terminal Year)</t>
  </si>
  <si>
    <r>
      <rPr>
        <rFont val="Arial"/>
        <color theme="1"/>
        <sz val="11.0"/>
      </rPr>
      <t xml:space="preserve">   Exit Multiple </t>
    </r>
    <r>
      <rPr>
        <rFont val="Arial"/>
        <i/>
        <color theme="1"/>
        <sz val="11.0"/>
      </rPr>
      <t>(1)</t>
    </r>
  </si>
  <si>
    <t>Less: Noncontrolling Interest</t>
  </si>
  <si>
    <t>Plus: Cash and Cash Equivalents</t>
  </si>
  <si>
    <r>
      <rPr>
        <rFont val="Arial"/>
        <color theme="1"/>
        <sz val="11.0"/>
      </rPr>
      <t xml:space="preserve">   Discount Factor </t>
    </r>
    <r>
      <rPr>
        <rFont val="Arial"/>
        <i/>
        <color theme="1"/>
        <sz val="11.0"/>
      </rPr>
      <t>(2)</t>
    </r>
  </si>
  <si>
    <t>Implied Equity Value</t>
  </si>
  <si>
    <t>Implied EV / EBITDA</t>
  </si>
  <si>
    <t>Present Value of Terminal Value</t>
  </si>
  <si>
    <t xml:space="preserve">   Fully Diluted Shares Outstanding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</si>
  <si>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of Enterprise Value</t>
    </r>
  </si>
  <si>
    <t>Implied Share Price</t>
  </si>
  <si>
    <t>LTM EBITDA</t>
  </si>
  <si>
    <t>(1) The median of the peer group's LTM EV/EBITDA</t>
  </si>
  <si>
    <t>multiples.</t>
  </si>
  <si>
    <r>
      <rPr>
        <rFont val="Arial"/>
        <color theme="1"/>
        <sz val="11.0"/>
      </rPr>
      <t xml:space="preserve">(2) 0.5 isn't deducted from </t>
    </r>
    <r>
      <rPr>
        <rFont val="Arial"/>
        <i/>
        <color theme="1"/>
        <sz val="11.0"/>
      </rPr>
      <t>n = 5</t>
    </r>
    <r>
      <rPr>
        <rFont val="Arial"/>
        <color theme="1"/>
        <sz val="11.0"/>
      </rPr>
      <t xml:space="preserve"> because EMM</t>
    </r>
  </si>
  <si>
    <t>assumes the business is sold at the exact end of the</t>
  </si>
  <si>
    <t>final year.</t>
  </si>
  <si>
    <t>Working Capital Projections</t>
  </si>
  <si>
    <t>COGS (excl. D&amp;A)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</si>
  <si>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sales</t>
    </r>
  </si>
  <si>
    <t>Current Assets</t>
  </si>
  <si>
    <t>Accounts Receivable</t>
  </si>
  <si>
    <t>Inventory</t>
  </si>
  <si>
    <t>Prepaid Expenses and Other Current Assets</t>
  </si>
  <si>
    <r>
      <rPr>
        <rFont val="Arial"/>
        <color theme="1"/>
        <sz val="10.0"/>
      </rPr>
      <t xml:space="preserve">   </t>
    </r>
    <r>
      <rPr>
        <rFont val="Arial"/>
        <b/>
        <color theme="1"/>
        <sz val="10.0"/>
      </rPr>
      <t>Total Current Assets</t>
    </r>
  </si>
  <si>
    <t>Current Liabilities</t>
  </si>
  <si>
    <t>Accounts Payable</t>
  </si>
  <si>
    <t>Accrued Liabilities</t>
  </si>
  <si>
    <t>Other Current Liabilities</t>
  </si>
  <si>
    <r>
      <rPr>
        <rFont val="Arial"/>
        <color theme="1"/>
        <sz val="10.0"/>
      </rPr>
      <t xml:space="preserve">   </t>
    </r>
    <r>
      <rPr>
        <rFont val="Arial"/>
        <b/>
        <color theme="1"/>
        <sz val="10.0"/>
      </rPr>
      <t>Total Current Liabilities</t>
    </r>
  </si>
  <si>
    <t>Net Working Capital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</si>
  <si>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sales</t>
    </r>
  </si>
  <si>
    <t>ΔNWC</t>
  </si>
  <si>
    <t>Assumptions</t>
  </si>
  <si>
    <t>Days Sales Outstanding</t>
  </si>
  <si>
    <t>Days Inventory Held</t>
  </si>
  <si>
    <t>Prepaid Expenses and Other Current Assets (% of sales)</t>
  </si>
  <si>
    <t>Days Payable Outstanding</t>
  </si>
  <si>
    <t>Accrued Liabilities (% of sales)</t>
  </si>
  <si>
    <t>Other Current Liabilities (% of sales)</t>
  </si>
  <si>
    <t>Cost of Debt Calculation</t>
  </si>
  <si>
    <t>(₱ in millions)</t>
  </si>
  <si>
    <t>Amount</t>
  </si>
  <si>
    <t>Interest Expense</t>
  </si>
  <si>
    <t>Instrument Yield</t>
  </si>
  <si>
    <t>Lease Liabilities</t>
  </si>
  <si>
    <t>Loans Payable (Bank Facilities/Term Loans)</t>
  </si>
  <si>
    <t>Acceptances and Trust Receipts Payable (Trade Finance)</t>
  </si>
  <si>
    <t xml:space="preserve">   Total Debt</t>
  </si>
  <si>
    <t>Overall Pre-tax Cost of Debt</t>
  </si>
  <si>
    <r>
      <rPr>
        <rFont val="Arial"/>
        <b/>
        <color theme="1"/>
      </rPr>
      <t xml:space="preserve">Overall After-tax Cost of Debt </t>
    </r>
    <r>
      <rPr>
        <rFont val="Arial"/>
        <b/>
        <i/>
        <color theme="1"/>
      </rPr>
      <t>(t = 25%)</t>
    </r>
  </si>
  <si>
    <t>Cost of Equity Calculation</t>
  </si>
  <si>
    <t>Comparables:</t>
  </si>
  <si>
    <t>Raw Beta</t>
  </si>
  <si>
    <t>D/E Ratio</t>
  </si>
  <si>
    <t>Unlevered Beta</t>
  </si>
  <si>
    <t>Universal Robina (URC)</t>
  </si>
  <si>
    <t>Century Pacific (CNPF)</t>
  </si>
  <si>
    <t>San Miguel F&amp;B (FB)</t>
  </si>
  <si>
    <t>Peer Group Median Unlevered Beta</t>
  </si>
  <si>
    <r>
      <rPr>
        <rFont val="Arial"/>
        <color theme="1"/>
      </rPr>
      <t xml:space="preserve">   Target Re-levered Beta </t>
    </r>
    <r>
      <rPr>
        <rFont val="Arial"/>
        <i/>
        <color theme="1"/>
      </rPr>
      <t>(1)</t>
    </r>
  </si>
  <si>
    <r>
      <rPr>
        <rFont val="Arial"/>
        <color theme="1"/>
      </rPr>
      <t xml:space="preserve">Risk-free Rate </t>
    </r>
    <r>
      <rPr>
        <rFont val="Arial"/>
        <i/>
        <color theme="1"/>
      </rPr>
      <t>(2)</t>
    </r>
  </si>
  <si>
    <r>
      <rPr>
        <rFont val="Arial"/>
        <color theme="1"/>
      </rPr>
      <t xml:space="preserve">Equity Risk Premium </t>
    </r>
    <r>
      <rPr>
        <rFont val="Arial"/>
        <i/>
        <color theme="1"/>
      </rPr>
      <t>(3)</t>
    </r>
  </si>
  <si>
    <r>
      <rPr>
        <rFont val="Arial"/>
        <color theme="1"/>
      </rPr>
      <t xml:space="preserve">Size Premium </t>
    </r>
    <r>
      <rPr>
        <rFont val="Arial"/>
        <i/>
        <color theme="1"/>
      </rPr>
      <t>(4)</t>
    </r>
  </si>
  <si>
    <t>Cost of Equity</t>
  </si>
  <si>
    <t>Notes:</t>
  </si>
  <si>
    <t>(1) Derived from the peer median, re-levered to Monde's target capital structure.</t>
  </si>
  <si>
    <t>(2) The yield on the Philippine 10-Year Government Bond as of August 14, 2026.</t>
  </si>
  <si>
    <t>(3) The standard baseline market risk premium (MRP) applied to Philippine equities in 2026.</t>
  </si>
  <si>
    <t>(4) Given Monde Nissin's ~$2.2B USD equity capitalization, a size premium is excluded, as the company</t>
  </si>
  <si>
    <t>operates well above small-cap risk thresholds.</t>
  </si>
  <si>
    <t>WACC Calculation</t>
  </si>
  <si>
    <r>
      <rPr>
        <rFont val="Arial"/>
        <color theme="1"/>
      </rPr>
      <t xml:space="preserve">Target Capital Structure </t>
    </r>
    <r>
      <rPr>
        <rFont val="Arial"/>
        <i/>
        <color theme="1"/>
      </rPr>
      <t>(1)</t>
    </r>
    <r>
      <rPr>
        <rFont val="Arial"/>
        <color theme="1"/>
      </rPr>
      <t>:</t>
    </r>
  </si>
  <si>
    <t xml:space="preserve">   Debt Portion</t>
  </si>
  <si>
    <t xml:space="preserve">   Equity Portion</t>
  </si>
  <si>
    <t>Cost of Debt (After-tax)</t>
  </si>
  <si>
    <t>Note:</t>
  </si>
  <si>
    <t>(1) Reflects the median capital structure of Monde Nissin’s comparable peers</t>
  </si>
  <si>
    <t>(URC, CNPF, and FB). The peer median was utilized to represent an optimal</t>
  </si>
  <si>
    <t>target capital structure, as Monde Nissin's current debt weighting falls</t>
  </si>
  <si>
    <t>significantly below the peer group range.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</si>
</sst>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₱]#,##0.00"/>
    <numFmt numFmtId="165" formatCode="0.0%"/>
    <numFmt numFmtId="166" formatCode="0.0x"/>
    <numFmt numFmtId="167" formatCode="#,##0.00;(#,##0.00)"/>
  </numFmts>
  <fonts count="20">
    <font>
      <sz val="10.0"/>
      <color rgb="FF000000"/>
      <name val="Arial"/>
      <scheme val="minor"/>
    </font>
    <font>
      <b/>
      <sz val="20.0"/>
      <color rgb="FFFFFFFF"/>
      <name val="Arial"/>
    </font>
    <font/>
    <font>
      <b/>
      <sz val="14.0"/>
      <color rgb="FFFFFFFF"/>
      <name val="Arial"/>
    </font>
    <font>
      <sz val="13.0"/>
      <color rgb="FFFFFFFF"/>
      <name val="Arial"/>
    </font>
    <font>
      <i/>
      <sz val="10.0"/>
      <color rgb="FFFFFFFF"/>
      <name val="Arial"/>
    </font>
    <font>
      <b/>
      <sz val="10.0"/>
      <color theme="1"/>
      <name val="Arial"/>
    </font>
    <font>
      <b/>
      <sz val="10.0"/>
      <color rgb="FFFFFFFF"/>
      <name val="Arial"/>
    </font>
    <font>
      <sz val="10.0"/>
      <color theme="1"/>
      <name val="Arial"/>
    </font>
    <font>
      <b/>
      <sz val="9.0"/>
      <color theme="1"/>
      <name val="Arial"/>
    </font>
    <font>
      <i/>
      <sz val="10.0"/>
      <color theme="1"/>
      <name val="Arial"/>
    </font>
    <font>
      <color theme="1"/>
      <name val="Arial"/>
    </font>
    <font>
      <b/>
      <sz val="11.0"/>
      <color theme="1"/>
      <name val="Arial"/>
    </font>
    <font>
      <b/>
      <color rgb="FF000000"/>
      <name val="Arial"/>
    </font>
    <font>
      <color rgb="FF000000"/>
      <name val="Arial"/>
    </font>
    <font>
      <sz val="11.0"/>
      <color theme="1"/>
      <name val="Arial"/>
    </font>
    <font>
      <sz val="14.0"/>
      <color rgb="FFFFFFFF"/>
      <name val="Arial"/>
    </font>
    <font>
      <i/>
      <color theme="1"/>
      <name val="Arial"/>
    </font>
    <font>
      <b/>
      <i/>
      <sz val="10.0"/>
      <color theme="1"/>
      <name val="Arial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</fills>
  <borders count="2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dotted">
        <color rgb="FF000000"/>
      </left>
      <top style="dotted">
        <color rgb="FF000000"/>
      </top>
    </border>
    <border>
      <top style="dotted">
        <color rgb="FF000000"/>
      </top>
    </border>
    <border>
      <right style="dotted">
        <color rgb="FF000000"/>
      </right>
      <top style="dotted">
        <color rgb="FF000000"/>
      </top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bottom style="dotted">
        <color rgb="FF000000"/>
      </bottom>
    </border>
    <border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dotted">
        <color rgb="FF000000"/>
      </right>
      <top style="thin">
        <color rgb="FF000000"/>
      </top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2" numFmtId="0" xfId="0" applyBorder="1" applyFont="1"/>
    <xf borderId="3" fillId="0" fontId="2" numFmtId="0" xfId="0" applyBorder="1" applyFont="1"/>
    <xf borderId="0" fillId="0" fontId="1" numFmtId="0" xfId="0" applyFont="1"/>
    <xf borderId="4" fillId="2" fontId="3" numFmtId="0" xfId="0" applyBorder="1" applyFill="1" applyFont="1"/>
    <xf borderId="5" fillId="0" fontId="2" numFmtId="0" xfId="0" applyBorder="1" applyFont="1"/>
    <xf borderId="0" fillId="0" fontId="3" numFmtId="0" xfId="0" applyFont="1"/>
    <xf borderId="0" fillId="0" fontId="4" numFmtId="0" xfId="0" applyFont="1"/>
    <xf borderId="6" fillId="2" fontId="5" numFmtId="0" xfId="0" applyBorder="1" applyFill="1" applyFont="1"/>
    <xf borderId="7" fillId="0" fontId="2" numFmtId="0" xfId="0" applyBorder="1" applyFont="1"/>
    <xf borderId="8" fillId="0" fontId="2" numFmtId="0" xfId="0" applyBorder="1" applyFont="1"/>
    <xf borderId="0" fillId="0" fontId="5" numFmtId="0" xfId="0" applyFont="1"/>
    <xf borderId="1" fillId="3" fontId="6" numFmtId="0" xfId="0" applyAlignment="1" applyBorder="1" applyFill="1" applyFont="1">
      <alignment horizontal="center"/>
    </xf>
    <xf borderId="2" fillId="4" fontId="6" numFmtId="0" xfId="0" applyAlignment="1" applyBorder="1" applyFill="1" applyFont="1">
      <alignment horizontal="center"/>
    </xf>
    <xf borderId="2" fillId="3" fontId="6" numFmtId="0" xfId="0" applyAlignment="1" applyBorder="1" applyFill="1" applyFont="1">
      <alignment horizontal="center"/>
    </xf>
    <xf borderId="2" fillId="2" fontId="7" numFmtId="0" xfId="0" applyAlignment="1" applyBorder="1" applyFill="1" applyFont="1">
      <alignment horizontal="center"/>
    </xf>
    <xf borderId="3" fillId="3" fontId="6" numFmtId="0" xfId="0" applyAlignment="1" applyBorder="1" applyFill="1" applyFont="1">
      <alignment horizontal="center"/>
    </xf>
    <xf borderId="0" fillId="0" fontId="8" numFmtId="0" xfId="0" applyFont="1"/>
    <xf borderId="4" fillId="3" fontId="8" numFmtId="0" xfId="0" applyBorder="1" applyFill="1" applyFont="1"/>
    <xf borderId="7" fillId="3" fontId="6" numFmtId="0" xfId="0" applyAlignment="1" applyBorder="1" applyFill="1" applyFont="1">
      <alignment horizontal="center"/>
    </xf>
    <xf quotePrefix="1" borderId="7" fillId="3" fontId="6" numFmtId="0" xfId="0" applyAlignment="1" applyBorder="1" applyFill="1" applyFont="1">
      <alignment horizontal="center"/>
    </xf>
    <xf quotePrefix="1" borderId="8" fillId="3" fontId="6" numFmtId="0" xfId="0" applyAlignment="1" applyBorder="1" applyFill="1" applyFont="1">
      <alignment horizontal="center"/>
    </xf>
    <xf borderId="9" fillId="2" fontId="7" numFmtId="0" xfId="0" applyAlignment="1" applyBorder="1" applyFill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0" fillId="0" fontId="9" numFmtId="0" xfId="0" applyAlignment="1" applyFont="1">
      <alignment horizontal="center" shrinkToFit="0" wrapText="1"/>
    </xf>
    <xf borderId="4" fillId="3" fontId="6" numFmtId="0" xfId="0" applyBorder="1" applyFill="1" applyFont="1"/>
    <xf borderId="0" fillId="3" fontId="6" numFmtId="164" xfId="0" applyFill="1" applyFont="1" applyNumberFormat="1"/>
    <xf borderId="0" fillId="3" fontId="10" numFmtId="165" xfId="0" applyAlignment="1" applyFill="1" applyFont="1" applyNumberFormat="1">
      <alignment horizontal="center"/>
    </xf>
    <xf borderId="5" fillId="3" fontId="10" numFmtId="165" xfId="0" applyAlignment="1" applyBorder="1" applyFill="1" applyFont="1" applyNumberFormat="1">
      <alignment horizontal="center"/>
    </xf>
    <xf borderId="4" fillId="3" fontId="11" numFmtId="0" xfId="0" applyBorder="1" applyFill="1" applyFont="1"/>
    <xf borderId="0" fillId="0" fontId="11" numFmtId="0" xfId="0" applyAlignment="1" applyFont="1">
      <alignment horizontal="center"/>
    </xf>
    <xf borderId="0" fillId="3" fontId="10" numFmtId="0" xfId="0" applyAlignment="1" applyFill="1" applyFont="1">
      <alignment horizontal="right"/>
    </xf>
    <xf borderId="0" fillId="3" fontId="10" numFmtId="165" xfId="0" applyFill="1" applyFont="1" applyNumberFormat="1"/>
    <xf borderId="0" fillId="3" fontId="8" numFmtId="0" xfId="0" applyFill="1" applyFont="1"/>
    <xf borderId="5" fillId="3" fontId="8" numFmtId="0" xfId="0" applyBorder="1" applyFill="1" applyFont="1"/>
    <xf borderId="12" fillId="3" fontId="6" numFmtId="0" xfId="0" applyAlignment="1" applyBorder="1" applyFill="1" applyFont="1">
      <alignment horizontal="center"/>
    </xf>
    <xf borderId="0" fillId="3" fontId="6" numFmtId="166" xfId="0" applyAlignment="1" applyFill="1" applyFont="1" applyNumberFormat="1">
      <alignment horizontal="center"/>
    </xf>
    <xf borderId="5" fillId="3" fontId="6" numFmtId="166" xfId="0" applyAlignment="1" applyBorder="1" applyFill="1" applyFont="1" applyNumberFormat="1">
      <alignment horizontal="center"/>
    </xf>
    <xf borderId="0" fillId="0" fontId="11" numFmtId="165" xfId="0" applyAlignment="1" applyFont="1" applyNumberFormat="1">
      <alignment horizontal="center"/>
    </xf>
    <xf borderId="1" fillId="3" fontId="6" numFmtId="165" xfId="0" applyAlignment="1" applyBorder="1" applyFill="1" applyFont="1" applyNumberFormat="1">
      <alignment horizontal="center"/>
    </xf>
    <xf borderId="0" fillId="3" fontId="8" numFmtId="167" xfId="0" applyFill="1" applyFont="1" applyNumberFormat="1"/>
    <xf borderId="5" fillId="3" fontId="8" numFmtId="167" xfId="0" applyBorder="1" applyFill="1" applyFont="1" applyNumberFormat="1"/>
    <xf borderId="0" fillId="3" fontId="10" numFmtId="165" xfId="0" applyAlignment="1" applyFill="1" applyFont="1" applyNumberFormat="1">
      <alignment horizontal="right"/>
    </xf>
    <xf borderId="4" fillId="3" fontId="6" numFmtId="165" xfId="0" applyAlignment="1" applyBorder="1" applyFill="1" applyFont="1" applyNumberFormat="1">
      <alignment horizontal="center"/>
    </xf>
    <xf borderId="13" fillId="5" fontId="8" numFmtId="167" xfId="0" applyBorder="1" applyFill="1" applyFont="1" applyNumberFormat="1"/>
    <xf borderId="14" fillId="5" fontId="8" numFmtId="167" xfId="0" applyBorder="1" applyFill="1" applyFont="1" applyNumberFormat="1"/>
    <xf borderId="15" fillId="6" fontId="8" numFmtId="167" xfId="0" applyBorder="1" applyFill="1" applyFont="1" applyNumberFormat="1"/>
    <xf borderId="16" fillId="5" fontId="8" numFmtId="167" xfId="0" applyBorder="1" applyFill="1" applyFont="1" applyNumberFormat="1"/>
    <xf borderId="0" fillId="6" fontId="8" numFmtId="167" xfId="0" applyFill="1" applyFont="1" applyNumberFormat="1"/>
    <xf borderId="17" fillId="5" fontId="8" numFmtId="167" xfId="0" applyBorder="1" applyFill="1" applyFont="1" applyNumberFormat="1"/>
    <xf borderId="6" fillId="3" fontId="8" numFmtId="0" xfId="0" applyBorder="1" applyFill="1" applyFont="1"/>
    <xf borderId="7" fillId="3" fontId="10" numFmtId="165" xfId="0" applyBorder="1" applyFill="1" applyFont="1" applyNumberFormat="1"/>
    <xf borderId="7" fillId="3" fontId="8" numFmtId="0" xfId="0" applyBorder="1" applyFill="1" applyFont="1"/>
    <xf borderId="8" fillId="3" fontId="8" numFmtId="0" xfId="0" applyBorder="1" applyFill="1" applyFont="1"/>
    <xf borderId="18" fillId="6" fontId="8" numFmtId="167" xfId="0" applyBorder="1" applyFill="1" applyFont="1" applyNumberFormat="1"/>
    <xf borderId="19" fillId="5" fontId="8" numFmtId="167" xfId="0" applyBorder="1" applyFill="1" applyFont="1" applyNumberFormat="1"/>
    <xf borderId="20" fillId="5" fontId="8" numFmtId="167" xfId="0" applyBorder="1" applyFill="1" applyFont="1" applyNumberFormat="1"/>
    <xf borderId="6" fillId="3" fontId="6" numFmtId="165" xfId="0" applyAlignment="1" applyBorder="1" applyFill="1" applyFont="1" applyNumberFormat="1">
      <alignment horizontal="center"/>
    </xf>
    <xf borderId="7" fillId="3" fontId="8" numFmtId="167" xfId="0" applyBorder="1" applyFill="1" applyFont="1" applyNumberFormat="1"/>
    <xf borderId="8" fillId="3" fontId="8" numFmtId="167" xfId="0" applyBorder="1" applyFill="1" applyFont="1" applyNumberFormat="1"/>
    <xf borderId="1" fillId="3" fontId="6" numFmtId="0" xfId="0" applyBorder="1" applyFill="1" applyFont="1"/>
    <xf borderId="2" fillId="5" fontId="12" numFmtId="0" xfId="0" applyAlignment="1" applyBorder="1" applyFill="1" applyFont="1">
      <alignment horizontal="center" readingOrder="0"/>
    </xf>
    <xf borderId="0" fillId="5" fontId="8" numFmtId="0" xfId="0" applyAlignment="1" applyFill="1" applyFont="1">
      <alignment horizontal="center"/>
    </xf>
    <xf borderId="7" fillId="5" fontId="8" numFmtId="0" xfId="0" applyAlignment="1" applyBorder="1" applyFill="1" applyFont="1">
      <alignment horizontal="center"/>
    </xf>
    <xf borderId="4" fillId="3" fontId="13" numFmtId="0" xfId="0" applyBorder="1" applyFill="1" applyFont="1"/>
    <xf borderId="0" fillId="3" fontId="14" numFmtId="0" xfId="0" applyFill="1" applyFont="1"/>
    <xf borderId="0" fillId="3" fontId="13" numFmtId="164" xfId="0" applyFill="1" applyFont="1" applyNumberFormat="1"/>
    <xf borderId="5" fillId="3" fontId="14" numFmtId="0" xfId="0" applyBorder="1" applyFill="1" applyFont="1"/>
    <xf borderId="7" fillId="3" fontId="8" numFmtId="2" xfId="0" applyBorder="1" applyFill="1" applyFont="1" applyNumberFormat="1"/>
    <xf borderId="6" fillId="3" fontId="6" numFmtId="0" xfId="0" applyBorder="1" applyFill="1" applyFont="1"/>
    <xf borderId="7" fillId="3" fontId="6" numFmtId="164" xfId="0" applyBorder="1" applyFill="1" applyFont="1" applyNumberFormat="1"/>
    <xf borderId="1" fillId="3" fontId="8" numFmtId="0" xfId="0" applyBorder="1" applyFill="1" applyFont="1"/>
    <xf borderId="3" fillId="3" fontId="8" numFmtId="164" xfId="0" applyBorder="1" applyFill="1" applyFont="1" applyNumberFormat="1"/>
    <xf borderId="1" fillId="3" fontId="11" numFmtId="0" xfId="0" applyBorder="1" applyFill="1" applyFont="1"/>
    <xf borderId="3" fillId="3" fontId="8" numFmtId="167" xfId="0" applyBorder="1" applyFill="1" applyFont="1" applyNumberFormat="1"/>
    <xf borderId="5" fillId="3" fontId="11" numFmtId="0" xfId="0" applyBorder="1" applyFill="1" applyFont="1"/>
    <xf borderId="5" fillId="3" fontId="8" numFmtId="165" xfId="0" applyBorder="1" applyFill="1" applyFont="1" applyNumberFormat="1"/>
    <xf borderId="5" fillId="3" fontId="8" numFmtId="167" xfId="0" applyAlignment="1" applyBorder="1" applyFill="1" applyFont="1" applyNumberFormat="1">
      <alignment horizontal="right"/>
    </xf>
    <xf borderId="6" fillId="3" fontId="11" numFmtId="0" xfId="0" applyBorder="1" applyFill="1" applyFont="1"/>
    <xf borderId="8" fillId="3" fontId="8" numFmtId="164" xfId="0" applyBorder="1" applyFill="1" applyFont="1" applyNumberFormat="1"/>
    <xf borderId="8" fillId="3" fontId="8" numFmtId="166" xfId="0" applyBorder="1" applyFill="1" applyFont="1" applyNumberFormat="1"/>
    <xf borderId="6" fillId="3" fontId="9" numFmtId="0" xfId="0" applyBorder="1" applyFill="1" applyFont="1"/>
    <xf borderId="8" fillId="3" fontId="6" numFmtId="165" xfId="0" applyBorder="1" applyFill="1" applyFont="1" applyNumberFormat="1"/>
    <xf borderId="8" fillId="3" fontId="8" numFmtId="2" xfId="0" applyBorder="1" applyFill="1" applyFont="1" applyNumberFormat="1"/>
    <xf borderId="4" fillId="5" fontId="6" numFmtId="0" xfId="0" applyBorder="1" applyFill="1" applyFont="1"/>
    <xf borderId="5" fillId="5" fontId="6" numFmtId="164" xfId="0" applyBorder="1" applyFill="1" applyFont="1" applyNumberFormat="1"/>
    <xf borderId="5" fillId="3" fontId="6" numFmtId="164" xfId="0" applyBorder="1" applyFill="1" applyFont="1" applyNumberFormat="1"/>
    <xf borderId="5" fillId="3" fontId="8" numFmtId="164" xfId="0" applyBorder="1" applyFill="1" applyFont="1" applyNumberFormat="1"/>
    <xf borderId="5" fillId="3" fontId="10" numFmtId="165" xfId="0" applyBorder="1" applyFill="1" applyFont="1" applyNumberFormat="1"/>
    <xf borderId="9" fillId="5" fontId="6" numFmtId="0" xfId="0" applyBorder="1" applyFill="1" applyFont="1"/>
    <xf borderId="11" fillId="5" fontId="6" numFmtId="164" xfId="0" applyBorder="1" applyFill="1" applyFont="1" applyNumberFormat="1"/>
    <xf borderId="6" fillId="5" fontId="6" numFmtId="0" xfId="0" applyBorder="1" applyFill="1" applyFont="1"/>
    <xf borderId="8" fillId="5" fontId="6" numFmtId="166" xfId="0" applyBorder="1" applyFill="1" applyFont="1" applyNumberFormat="1"/>
    <xf borderId="0" fillId="0" fontId="15" numFmtId="0" xfId="0" applyFont="1"/>
    <xf borderId="0" fillId="0" fontId="11" numFmtId="0" xfId="0" applyFont="1"/>
    <xf borderId="1" fillId="2" fontId="16" numFmtId="0" xfId="0" applyAlignment="1" applyBorder="1" applyFill="1" applyFont="1">
      <alignment horizontal="left"/>
    </xf>
    <xf borderId="0" fillId="0" fontId="6" numFmtId="0" xfId="0" applyAlignment="1" applyFont="1">
      <alignment horizontal="center"/>
    </xf>
    <xf borderId="21" fillId="2" fontId="7" numFmtId="0" xfId="0" applyAlignment="1" applyBorder="1" applyFill="1" applyFont="1">
      <alignment horizontal="center"/>
    </xf>
    <xf borderId="22" fillId="3" fontId="6" numFmtId="0" xfId="0" applyAlignment="1" applyBorder="1" applyFill="1" applyFont="1">
      <alignment horizontal="center"/>
    </xf>
    <xf borderId="8" fillId="3" fontId="6" numFmtId="0" xfId="0" applyAlignment="1" applyBorder="1" applyFill="1" applyFont="1">
      <alignment horizontal="center"/>
    </xf>
    <xf borderId="0" fillId="3" fontId="8" numFmtId="164" xfId="0" applyFill="1" applyFont="1" applyNumberFormat="1"/>
    <xf borderId="17" fillId="3" fontId="8" numFmtId="164" xfId="0" applyBorder="1" applyFill="1" applyFont="1" applyNumberFormat="1"/>
    <xf borderId="0" fillId="3" fontId="11" numFmtId="167" xfId="0" applyFill="1" applyFont="1" applyNumberFormat="1"/>
    <xf borderId="17" fillId="3" fontId="11" numFmtId="167" xfId="0" applyBorder="1" applyFill="1" applyFont="1" applyNumberFormat="1"/>
    <xf borderId="5" fillId="3" fontId="11" numFmtId="167" xfId="0" applyBorder="1" applyFill="1" applyFont="1" applyNumberFormat="1"/>
    <xf borderId="0" fillId="3" fontId="17" numFmtId="165" xfId="0" applyFill="1" applyFont="1" applyNumberFormat="1"/>
    <xf borderId="17" fillId="3" fontId="17" numFmtId="165" xfId="0" applyBorder="1" applyFill="1" applyFont="1" applyNumberFormat="1"/>
    <xf borderId="5" fillId="3" fontId="17" numFmtId="165" xfId="0" applyBorder="1" applyFill="1" applyFont="1" applyNumberFormat="1"/>
    <xf borderId="0" fillId="3" fontId="11" numFmtId="0" xfId="0" applyFill="1" applyFont="1"/>
    <xf borderId="17" fillId="3" fontId="11" numFmtId="0" xfId="0" applyBorder="1" applyFill="1" applyFont="1"/>
    <xf borderId="17" fillId="3" fontId="8" numFmtId="0" xfId="0" applyBorder="1" applyFill="1" applyFont="1"/>
    <xf borderId="17" fillId="3" fontId="8" numFmtId="167" xfId="0" applyBorder="1" applyFill="1" applyFont="1" applyNumberFormat="1"/>
    <xf borderId="22" fillId="3" fontId="8" numFmtId="167" xfId="0" applyBorder="1" applyFill="1" applyFont="1" applyNumberFormat="1"/>
    <xf borderId="17" fillId="3" fontId="6" numFmtId="164" xfId="0" applyBorder="1" applyFill="1" applyFont="1" applyNumberFormat="1"/>
    <xf borderId="17" fillId="3" fontId="10" numFmtId="165" xfId="0" applyBorder="1" applyFill="1" applyFont="1" applyNumberFormat="1"/>
    <xf borderId="22" fillId="3" fontId="6" numFmtId="164" xfId="0" applyBorder="1" applyFill="1" applyFont="1" applyNumberFormat="1"/>
    <xf borderId="8" fillId="3" fontId="6" numFmtId="164" xfId="0" applyBorder="1" applyFill="1" applyFont="1" applyNumberFormat="1"/>
    <xf borderId="4" fillId="3" fontId="18" numFmtId="0" xfId="0" applyBorder="1" applyFill="1" applyFont="1"/>
    <xf borderId="0" fillId="3" fontId="8" numFmtId="165" xfId="0" applyFill="1" applyFont="1" applyNumberFormat="1"/>
    <xf borderId="17" fillId="3" fontId="8" numFmtId="165" xfId="0" applyBorder="1" applyFill="1" applyFont="1" applyNumberFormat="1"/>
    <xf borderId="7" fillId="3" fontId="8" numFmtId="165" xfId="0" applyBorder="1" applyFill="1" applyFont="1" applyNumberFormat="1"/>
    <xf borderId="22" fillId="3" fontId="8" numFmtId="165" xfId="0" applyBorder="1" applyFill="1" applyFont="1" applyNumberFormat="1"/>
    <xf borderId="8" fillId="3" fontId="8" numFmtId="165" xfId="0" applyBorder="1" applyFill="1" applyFont="1" applyNumberFormat="1"/>
    <xf borderId="1" fillId="2" fontId="16" numFmtId="0" xfId="0" applyBorder="1" applyFill="1" applyFont="1"/>
    <xf borderId="0" fillId="0" fontId="16" numFmtId="0" xfId="0" applyFont="1"/>
    <xf borderId="10" fillId="3" fontId="6" numFmtId="0" xfId="0" applyAlignment="1" applyBorder="1" applyFill="1" applyFont="1">
      <alignment horizontal="center"/>
    </xf>
    <xf borderId="10" fillId="3" fontId="6" numFmtId="0" xfId="0" applyAlignment="1" applyBorder="1" applyFill="1" applyFont="1">
      <alignment horizontal="center" shrinkToFit="0" wrapText="1"/>
    </xf>
    <xf borderId="11" fillId="3" fontId="6" numFmtId="0" xfId="0" applyAlignment="1" applyBorder="1" applyFill="1" applyFont="1">
      <alignment horizontal="center" shrinkToFit="0" wrapText="1"/>
    </xf>
    <xf borderId="0" fillId="0" fontId="8" numFmtId="165" xfId="0" applyFont="1" applyNumberFormat="1"/>
    <xf borderId="5" fillId="3" fontId="11" numFmtId="165" xfId="0" applyBorder="1" applyFill="1" applyFont="1" applyNumberFormat="1"/>
    <xf borderId="7" fillId="3" fontId="11" numFmtId="167" xfId="0" applyBorder="1" applyFill="1" applyFont="1" applyNumberFormat="1"/>
    <xf borderId="8" fillId="3" fontId="11" numFmtId="165" xfId="0" applyBorder="1" applyFill="1" applyFont="1" applyNumberFormat="1"/>
    <xf borderId="7" fillId="3" fontId="11" numFmtId="164" xfId="0" applyBorder="1" applyFill="1" applyFont="1" applyNumberFormat="1"/>
    <xf borderId="7" fillId="3" fontId="11" numFmtId="0" xfId="0" applyBorder="1" applyFill="1" applyFont="1"/>
    <xf borderId="8" fillId="3" fontId="11" numFmtId="0" xfId="0" applyBorder="1" applyFill="1" applyFont="1"/>
    <xf borderId="4" fillId="3" fontId="19" numFmtId="0" xfId="0" applyBorder="1" applyFill="1" applyFont="1"/>
    <xf borderId="7" fillId="3" fontId="11" numFmtId="165" xfId="0" applyBorder="1" applyFill="1" applyFont="1" applyNumberFormat="1"/>
    <xf borderId="7" fillId="3" fontId="19" numFmtId="165" xfId="0" applyBorder="1" applyFill="1" applyFont="1" applyNumberFormat="1"/>
    <xf borderId="1" fillId="3" fontId="19" numFmtId="0" xfId="0" applyBorder="1" applyFill="1" applyFont="1"/>
    <xf borderId="10" fillId="3" fontId="19" numFmtId="0" xfId="0" applyAlignment="1" applyBorder="1" applyFill="1" applyFont="1">
      <alignment horizontal="center"/>
    </xf>
    <xf borderId="0" fillId="3" fontId="11" numFmtId="165" xfId="0" applyFill="1" applyFont="1" applyNumberFormat="1"/>
    <xf borderId="5" fillId="3" fontId="11" numFmtId="2" xfId="0" applyBorder="1" applyFill="1" applyFont="1" applyNumberFormat="1"/>
    <xf borderId="7" fillId="3" fontId="11" numFmtId="2" xfId="0" applyBorder="1" applyFill="1" applyFont="1" applyNumberFormat="1"/>
    <xf borderId="0" fillId="3" fontId="11" numFmtId="2" xfId="0" applyFill="1" applyFont="1" applyNumberFormat="1"/>
    <xf borderId="6" fillId="3" fontId="19" numFmtId="0" xfId="0" applyBorder="1" applyFill="1" applyFont="1"/>
    <xf borderId="9" fillId="2" fontId="16" numFmtId="0" xfId="0" applyBorder="1" applyFill="1" applyFont="1"/>
    <xf borderId="3" fillId="3" fontId="11" numFmtId="0" xfId="0" applyBorder="1" applyFill="1" applyFont="1"/>
    <xf borderId="8" fillId="3" fontId="19" numFmtId="165" xfId="0" applyBorder="1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2.13"/>
    <col customWidth="1" min="2" max="4" width="12.63"/>
    <col customWidth="1" min="5" max="5" width="9.0"/>
    <col customWidth="1" min="6" max="11" width="12.63"/>
    <col customWidth="1" min="12" max="12" width="9.0"/>
    <col customWidth="1" min="13" max="13" width="6.38"/>
    <col customWidth="1" min="14" max="20" width="12.63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"/>
      <c r="T1" s="4"/>
      <c r="U1" s="4"/>
    </row>
    <row r="2" ht="15.75" customHeight="1">
      <c r="A2" s="5" t="s">
        <v>1</v>
      </c>
      <c r="S2" s="6"/>
      <c r="T2" s="7"/>
      <c r="U2" s="8"/>
    </row>
    <row r="3" ht="15.75" customHeight="1">
      <c r="A3" s="9" t="s">
        <v>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1"/>
      <c r="T3" s="12"/>
    </row>
    <row r="4" ht="15.75" customHeight="1">
      <c r="A4" s="13"/>
      <c r="B4" s="14" t="s">
        <v>3</v>
      </c>
      <c r="C4" s="2"/>
      <c r="D4" s="2"/>
      <c r="E4" s="15" t="s">
        <v>4</v>
      </c>
      <c r="F4" s="16" t="s">
        <v>5</v>
      </c>
      <c r="G4" s="14" t="s">
        <v>6</v>
      </c>
      <c r="H4" s="2"/>
      <c r="I4" s="2"/>
      <c r="J4" s="2"/>
      <c r="K4" s="2"/>
      <c r="L4" s="17" t="s">
        <v>4</v>
      </c>
      <c r="M4" s="18"/>
      <c r="T4" s="18"/>
    </row>
    <row r="5" ht="15.75" customHeight="1">
      <c r="A5" s="19"/>
      <c r="B5" s="20">
        <v>2023.0</v>
      </c>
      <c r="C5" s="20">
        <v>2024.0</v>
      </c>
      <c r="D5" s="20">
        <v>2025.0</v>
      </c>
      <c r="E5" s="21" t="s">
        <v>7</v>
      </c>
      <c r="F5" s="20">
        <v>2026.0</v>
      </c>
      <c r="G5" s="20">
        <v>2027.0</v>
      </c>
      <c r="H5" s="20">
        <v>2028.0</v>
      </c>
      <c r="I5" s="20">
        <v>2029.0</v>
      </c>
      <c r="J5" s="20">
        <v>2030.0</v>
      </c>
      <c r="K5" s="20">
        <v>2031.0</v>
      </c>
      <c r="L5" s="22" t="s">
        <v>8</v>
      </c>
      <c r="N5" s="23" t="s">
        <v>9</v>
      </c>
      <c r="O5" s="24"/>
      <c r="P5" s="24"/>
      <c r="Q5" s="24"/>
      <c r="R5" s="24"/>
      <c r="S5" s="25"/>
      <c r="T5" s="18"/>
      <c r="U5" s="26"/>
    </row>
    <row r="6" ht="15.75" customHeight="1">
      <c r="A6" s="27" t="s">
        <v>10</v>
      </c>
      <c r="B6" s="28">
        <v>80169.5</v>
      </c>
      <c r="C6" s="28">
        <v>83120.1</v>
      </c>
      <c r="D6" s="28">
        <v>86483.0</v>
      </c>
      <c r="E6" s="29">
        <f>(D6/B6)^(1/2)-1</f>
        <v>0.03862981587</v>
      </c>
      <c r="F6" s="28">
        <v>90755.0</v>
      </c>
      <c r="G6" s="28">
        <v>95707.0</v>
      </c>
      <c r="H6" s="28">
        <v>100088.0</v>
      </c>
      <c r="I6" s="28">
        <v>104091.52</v>
      </c>
      <c r="J6" s="28">
        <v>107734.72</v>
      </c>
      <c r="K6" s="28">
        <v>110966.76</v>
      </c>
      <c r="L6" s="30">
        <f>(K6/F6)^(1/5)-1</f>
        <v>0.04103293376</v>
      </c>
      <c r="N6" s="31"/>
      <c r="O6" s="20" t="s">
        <v>11</v>
      </c>
      <c r="P6" s="10"/>
      <c r="Q6" s="10"/>
      <c r="R6" s="10"/>
      <c r="S6" s="11"/>
      <c r="T6" s="18"/>
      <c r="U6" s="32"/>
    </row>
    <row r="7" ht="15.75" customHeight="1">
      <c r="A7" s="19" t="s">
        <v>12</v>
      </c>
      <c r="B7" s="33" t="s">
        <v>13</v>
      </c>
      <c r="C7" s="34">
        <f t="shared" ref="C7:D7" si="1">(C6/B6)^(1/1)-1</f>
        <v>0.03680452042</v>
      </c>
      <c r="D7" s="34">
        <f t="shared" si="1"/>
        <v>0.04045832476</v>
      </c>
      <c r="E7" s="35"/>
      <c r="F7" s="34">
        <f>(F6/D6)^(1/1)-1</f>
        <v>0.04939699132</v>
      </c>
      <c r="G7" s="34">
        <f t="shared" ref="G7:K7" si="2">(G6/F6)^(1/1)-1</f>
        <v>0.05456448681</v>
      </c>
      <c r="H7" s="34">
        <f t="shared" si="2"/>
        <v>0.04577512617</v>
      </c>
      <c r="I7" s="34">
        <f t="shared" si="2"/>
        <v>0.04</v>
      </c>
      <c r="J7" s="34">
        <f t="shared" si="2"/>
        <v>0.03499996926</v>
      </c>
      <c r="K7" s="34">
        <f t="shared" si="2"/>
        <v>0.02999998515</v>
      </c>
      <c r="L7" s="36"/>
      <c r="N7" s="37" t="s">
        <v>14</v>
      </c>
      <c r="O7" s="38">
        <v>5.6</v>
      </c>
      <c r="P7" s="38">
        <v>6.1</v>
      </c>
      <c r="Q7" s="38">
        <v>6.6</v>
      </c>
      <c r="R7" s="38">
        <v>7.1</v>
      </c>
      <c r="S7" s="39">
        <v>7.6</v>
      </c>
      <c r="T7" s="18"/>
      <c r="U7" s="40"/>
    </row>
    <row r="8" ht="15.75" customHeight="1">
      <c r="A8" s="27" t="s">
        <v>15</v>
      </c>
      <c r="B8" s="28">
        <v>14944.0</v>
      </c>
      <c r="C8" s="28">
        <v>13415.7</v>
      </c>
      <c r="D8" s="28">
        <v>14833.9</v>
      </c>
      <c r="E8" s="29">
        <f>(D8/B8)^(1/2)-1</f>
        <v>-0.003690562804</v>
      </c>
      <c r="F8" s="28">
        <v>16987.0</v>
      </c>
      <c r="G8" s="28">
        <v>17757.0</v>
      </c>
      <c r="H8" s="28">
        <v>19005.0</v>
      </c>
      <c r="I8" s="28">
        <f t="shared" ref="I8:K8" si="3">I6*I9</f>
        <v>19777.3888</v>
      </c>
      <c r="J8" s="28">
        <f t="shared" si="3"/>
        <v>20469.5968</v>
      </c>
      <c r="K8" s="28">
        <f t="shared" si="3"/>
        <v>21083.6844</v>
      </c>
      <c r="L8" s="30">
        <f>(K8/F8)^(1/5)-1</f>
        <v>0.04415738385</v>
      </c>
      <c r="N8" s="41">
        <v>0.105</v>
      </c>
      <c r="O8" s="42">
        <v>113475.11</v>
      </c>
      <c r="P8" s="42">
        <v>119874.01</v>
      </c>
      <c r="Q8" s="42">
        <v>126272.91</v>
      </c>
      <c r="R8" s="42">
        <v>132671.8</v>
      </c>
      <c r="S8" s="43">
        <v>139070.7</v>
      </c>
      <c r="T8" s="18"/>
      <c r="U8" s="32"/>
    </row>
    <row r="9" ht="15.75" customHeight="1">
      <c r="A9" s="19" t="s">
        <v>16</v>
      </c>
      <c r="B9" s="44">
        <f t="shared" ref="B9:D9" si="4">B8/B6</f>
        <v>0.1864050543</v>
      </c>
      <c r="C9" s="44">
        <f t="shared" si="4"/>
        <v>0.1614013939</v>
      </c>
      <c r="D9" s="44">
        <f t="shared" si="4"/>
        <v>0.1715238833</v>
      </c>
      <c r="E9" s="35"/>
      <c r="F9" s="34">
        <f t="shared" ref="F9:H9" si="5">F8/F6</f>
        <v>0.1871742604</v>
      </c>
      <c r="G9" s="34">
        <f t="shared" si="5"/>
        <v>0.1855350183</v>
      </c>
      <c r="H9" s="34">
        <f t="shared" si="5"/>
        <v>0.189882903</v>
      </c>
      <c r="I9" s="34">
        <v>0.19</v>
      </c>
      <c r="J9" s="34">
        <v>0.19</v>
      </c>
      <c r="K9" s="34">
        <v>0.19</v>
      </c>
      <c r="L9" s="36"/>
      <c r="N9" s="45">
        <v>0.11</v>
      </c>
      <c r="O9" s="42">
        <v>111408.16</v>
      </c>
      <c r="P9" s="46">
        <v>117664.23</v>
      </c>
      <c r="Q9" s="47">
        <v>123920.3</v>
      </c>
      <c r="R9" s="48">
        <v>130176.37</v>
      </c>
      <c r="S9" s="43">
        <v>136432.44</v>
      </c>
      <c r="T9" s="18"/>
      <c r="U9" s="40"/>
    </row>
    <row r="10" ht="15.75" customHeight="1">
      <c r="A10" s="19" t="s">
        <v>17</v>
      </c>
      <c r="B10" s="42">
        <v>2772.0</v>
      </c>
      <c r="C10" s="42">
        <v>2687.9</v>
      </c>
      <c r="D10" s="42">
        <v>2826.7</v>
      </c>
      <c r="E10" s="29">
        <f>(D10/B10)^(1/2)-1</f>
        <v>0.009818322637</v>
      </c>
      <c r="F10" s="42">
        <v>3443.0</v>
      </c>
      <c r="G10" s="42">
        <v>3262.0</v>
      </c>
      <c r="H10" s="42">
        <v>3277.0</v>
      </c>
      <c r="I10" s="42">
        <f t="shared" ref="I10:K10" si="6">I6*I11</f>
        <v>3435.02016</v>
      </c>
      <c r="J10" s="42">
        <f t="shared" si="6"/>
        <v>3555.24576</v>
      </c>
      <c r="K10" s="42">
        <f t="shared" si="6"/>
        <v>3661.90308</v>
      </c>
      <c r="L10" s="30">
        <f>(K10/F10)^(1/5)-1</f>
        <v>0.01240426154</v>
      </c>
      <c r="N10" s="45">
        <v>0.115</v>
      </c>
      <c r="O10" s="42">
        <v>109506.44</v>
      </c>
      <c r="P10" s="49">
        <v>115631.33</v>
      </c>
      <c r="Q10" s="50">
        <v>121756.21</v>
      </c>
      <c r="R10" s="51">
        <v>127881.1</v>
      </c>
      <c r="S10" s="43">
        <v>134005.98</v>
      </c>
      <c r="T10" s="18"/>
      <c r="U10" s="40"/>
    </row>
    <row r="11" ht="15.75" customHeight="1">
      <c r="A11" s="52" t="s">
        <v>18</v>
      </c>
      <c r="B11" s="53">
        <f t="shared" ref="B11:D11" si="7">B10/B6</f>
        <v>0.03457674053</v>
      </c>
      <c r="C11" s="53">
        <f t="shared" si="7"/>
        <v>0.03233754531</v>
      </c>
      <c r="D11" s="53">
        <f t="shared" si="7"/>
        <v>0.03268503637</v>
      </c>
      <c r="E11" s="54"/>
      <c r="F11" s="53">
        <f t="shared" ref="F11:H11" si="8">F10/F6</f>
        <v>0.03793730373</v>
      </c>
      <c r="G11" s="53">
        <f t="shared" si="8"/>
        <v>0.03408319141</v>
      </c>
      <c r="H11" s="53">
        <f t="shared" si="8"/>
        <v>0.03274118775</v>
      </c>
      <c r="I11" s="53">
        <v>0.033</v>
      </c>
      <c r="J11" s="53">
        <v>0.033</v>
      </c>
      <c r="K11" s="53">
        <v>0.033</v>
      </c>
      <c r="L11" s="55"/>
      <c r="M11" s="18"/>
      <c r="N11" s="45">
        <v>0.12</v>
      </c>
      <c r="O11" s="42">
        <v>107427.44</v>
      </c>
      <c r="P11" s="56">
        <v>113409.17</v>
      </c>
      <c r="Q11" s="57">
        <v>119390.89</v>
      </c>
      <c r="R11" s="58">
        <v>125372.62</v>
      </c>
      <c r="S11" s="43">
        <v>131354.34</v>
      </c>
      <c r="T11" s="18"/>
      <c r="U11" s="40"/>
    </row>
    <row r="12" ht="15.75" customHeight="1">
      <c r="A12" s="27" t="s">
        <v>19</v>
      </c>
      <c r="B12" s="28">
        <f t="shared" ref="B12:D12" si="9">B8-B10</f>
        <v>12172</v>
      </c>
      <c r="C12" s="28">
        <f t="shared" si="9"/>
        <v>10727.8</v>
      </c>
      <c r="D12" s="28">
        <f t="shared" si="9"/>
        <v>12007.2</v>
      </c>
      <c r="E12" s="29">
        <f>(D12/B12)^(1/2)-1</f>
        <v>-0.006792705653</v>
      </c>
      <c r="F12" s="28">
        <f t="shared" ref="F12:K12" si="10">F8-F10</f>
        <v>13544</v>
      </c>
      <c r="G12" s="28">
        <f t="shared" si="10"/>
        <v>14495</v>
      </c>
      <c r="H12" s="28">
        <f t="shared" si="10"/>
        <v>15728</v>
      </c>
      <c r="I12" s="28">
        <f t="shared" si="10"/>
        <v>16342.36864</v>
      </c>
      <c r="J12" s="28">
        <f t="shared" si="10"/>
        <v>16914.35104</v>
      </c>
      <c r="K12" s="28">
        <f t="shared" si="10"/>
        <v>17421.78132</v>
      </c>
      <c r="L12" s="30">
        <f>(K12/F12)^(1/5)-1</f>
        <v>0.05164490621</v>
      </c>
      <c r="M12" s="18"/>
      <c r="N12" s="59">
        <v>0.125</v>
      </c>
      <c r="O12" s="60">
        <v>105510.64</v>
      </c>
      <c r="P12" s="60">
        <v>111360.62</v>
      </c>
      <c r="Q12" s="60">
        <v>117210.59</v>
      </c>
      <c r="R12" s="60">
        <v>123060.56</v>
      </c>
      <c r="S12" s="61">
        <v>128910.54</v>
      </c>
      <c r="T12" s="18"/>
      <c r="U12" s="40"/>
    </row>
    <row r="13" ht="15.75" customHeight="1">
      <c r="A13" s="19" t="s">
        <v>20</v>
      </c>
      <c r="B13" s="34">
        <f t="shared" ref="B13:D13" si="11">B12/B6</f>
        <v>0.1518283138</v>
      </c>
      <c r="C13" s="34">
        <f t="shared" si="11"/>
        <v>0.1290638486</v>
      </c>
      <c r="D13" s="34">
        <f t="shared" si="11"/>
        <v>0.1388388469</v>
      </c>
      <c r="E13" s="35"/>
      <c r="F13" s="34">
        <f t="shared" ref="F13:K13" si="12">F12/F6</f>
        <v>0.1492369566</v>
      </c>
      <c r="G13" s="34">
        <f t="shared" si="12"/>
        <v>0.1514518269</v>
      </c>
      <c r="H13" s="34">
        <f t="shared" si="12"/>
        <v>0.1571417153</v>
      </c>
      <c r="I13" s="34">
        <f t="shared" si="12"/>
        <v>0.157</v>
      </c>
      <c r="J13" s="34">
        <f t="shared" si="12"/>
        <v>0.157</v>
      </c>
      <c r="K13" s="34">
        <f t="shared" si="12"/>
        <v>0.157</v>
      </c>
      <c r="L13" s="36"/>
      <c r="M13" s="18"/>
      <c r="N13" s="18"/>
      <c r="O13" s="18"/>
      <c r="P13" s="18"/>
      <c r="Q13" s="18"/>
      <c r="R13" s="18"/>
      <c r="S13" s="18"/>
      <c r="T13" s="18"/>
      <c r="U13" s="40"/>
    </row>
    <row r="14" ht="15.75" customHeight="1">
      <c r="A14" s="52" t="s">
        <v>21</v>
      </c>
      <c r="B14" s="60">
        <f t="shared" ref="B14:D14" si="13">B12*0.25</f>
        <v>3043</v>
      </c>
      <c r="C14" s="60">
        <f t="shared" si="13"/>
        <v>2681.95</v>
      </c>
      <c r="D14" s="60">
        <f t="shared" si="13"/>
        <v>3001.8</v>
      </c>
      <c r="E14" s="60"/>
      <c r="F14" s="60">
        <f t="shared" ref="F14:K14" si="14">F12*0.25</f>
        <v>3386</v>
      </c>
      <c r="G14" s="60">
        <f t="shared" si="14"/>
        <v>3623.75</v>
      </c>
      <c r="H14" s="60">
        <f t="shared" si="14"/>
        <v>3932</v>
      </c>
      <c r="I14" s="60">
        <f t="shared" si="14"/>
        <v>4085.59216</v>
      </c>
      <c r="J14" s="60">
        <f t="shared" si="14"/>
        <v>4228.58776</v>
      </c>
      <c r="K14" s="60">
        <f t="shared" si="14"/>
        <v>4355.44533</v>
      </c>
      <c r="L14" s="55"/>
      <c r="M14" s="18"/>
      <c r="N14" s="62" t="s">
        <v>22</v>
      </c>
      <c r="O14" s="2"/>
      <c r="P14" s="63" t="s">
        <v>23</v>
      </c>
      <c r="Q14" s="3"/>
      <c r="R14" s="18"/>
      <c r="S14" s="18"/>
      <c r="T14" s="18"/>
      <c r="U14" s="40"/>
    </row>
    <row r="15" ht="15.75" customHeight="1">
      <c r="A15" s="27" t="s">
        <v>24</v>
      </c>
      <c r="B15" s="28">
        <f t="shared" ref="B15:D15" si="15">B12-B14</f>
        <v>9129</v>
      </c>
      <c r="C15" s="28">
        <f t="shared" si="15"/>
        <v>8045.85</v>
      </c>
      <c r="D15" s="28">
        <f t="shared" si="15"/>
        <v>9005.4</v>
      </c>
      <c r="E15" s="29">
        <f>(D15/B15)^(1/2)-1</f>
        <v>-0.006792705653</v>
      </c>
      <c r="F15" s="28">
        <f t="shared" ref="F15:K15" si="16">F12-F14</f>
        <v>10158</v>
      </c>
      <c r="G15" s="28">
        <f t="shared" si="16"/>
        <v>10871.25</v>
      </c>
      <c r="H15" s="28">
        <f t="shared" si="16"/>
        <v>11796</v>
      </c>
      <c r="I15" s="28">
        <f t="shared" si="16"/>
        <v>12256.77648</v>
      </c>
      <c r="J15" s="28">
        <f t="shared" si="16"/>
        <v>12685.76328</v>
      </c>
      <c r="K15" s="28">
        <f t="shared" si="16"/>
        <v>13066.33599</v>
      </c>
      <c r="L15" s="30">
        <f>(K15/F15)^(1/5)-1</f>
        <v>0.05164490621</v>
      </c>
      <c r="M15" s="18"/>
      <c r="N15" s="19" t="s">
        <v>25</v>
      </c>
      <c r="P15" s="64" t="s">
        <v>26</v>
      </c>
      <c r="Q15" s="6"/>
      <c r="R15" s="18"/>
      <c r="S15" s="18"/>
      <c r="T15" s="18"/>
      <c r="U15" s="40"/>
    </row>
    <row r="16" ht="15.75" customHeight="1">
      <c r="A16" s="19" t="s">
        <v>27</v>
      </c>
      <c r="B16" s="42">
        <f t="shared" ref="B16:D16" si="17">B10</f>
        <v>2772</v>
      </c>
      <c r="C16" s="42">
        <f t="shared" si="17"/>
        <v>2687.9</v>
      </c>
      <c r="D16" s="42">
        <f t="shared" si="17"/>
        <v>2826.7</v>
      </c>
      <c r="E16" s="35"/>
      <c r="F16" s="42">
        <f t="shared" ref="F16:K16" si="18">F10</f>
        <v>3443</v>
      </c>
      <c r="G16" s="42">
        <f t="shared" si="18"/>
        <v>3262</v>
      </c>
      <c r="H16" s="42">
        <f t="shared" si="18"/>
        <v>3277</v>
      </c>
      <c r="I16" s="42">
        <f t="shared" si="18"/>
        <v>3435.02016</v>
      </c>
      <c r="J16" s="42">
        <f t="shared" si="18"/>
        <v>3555.24576</v>
      </c>
      <c r="K16" s="42">
        <f t="shared" si="18"/>
        <v>3661.90308</v>
      </c>
      <c r="L16" s="36"/>
      <c r="M16" s="18"/>
      <c r="N16" s="52" t="s">
        <v>28</v>
      </c>
      <c r="O16" s="10"/>
      <c r="P16" s="65" t="s">
        <v>29</v>
      </c>
      <c r="Q16" s="11"/>
      <c r="R16" s="18"/>
      <c r="S16" s="18"/>
      <c r="T16" s="18"/>
    </row>
    <row r="17" ht="15.75" customHeight="1">
      <c r="A17" s="19" t="s">
        <v>30</v>
      </c>
      <c r="B17" s="42">
        <v>3641.3</v>
      </c>
      <c r="C17" s="42">
        <v>4823.1</v>
      </c>
      <c r="D17" s="42">
        <v>4719.1</v>
      </c>
      <c r="E17" s="35"/>
      <c r="F17" s="42">
        <v>6004.0</v>
      </c>
      <c r="G17" s="42">
        <v>5131.0</v>
      </c>
      <c r="H17" s="42">
        <v>4783.0</v>
      </c>
      <c r="I17" s="42">
        <f t="shared" ref="I17:K17" si="19">I6*I18</f>
        <v>4475.93536</v>
      </c>
      <c r="J17" s="42">
        <f t="shared" si="19"/>
        <v>4093.91936</v>
      </c>
      <c r="K17" s="42">
        <f t="shared" si="19"/>
        <v>3661.90308</v>
      </c>
      <c r="L17" s="36"/>
      <c r="M17" s="18"/>
      <c r="N17" s="18"/>
      <c r="O17" s="18"/>
      <c r="P17" s="18"/>
      <c r="Q17" s="18"/>
      <c r="R17" s="18"/>
      <c r="S17" s="18"/>
      <c r="T17" s="18"/>
    </row>
    <row r="18" ht="15.75" customHeight="1">
      <c r="A18" s="19" t="s">
        <v>31</v>
      </c>
      <c r="B18" s="34">
        <f t="shared" ref="B18:D18" si="20">B17/B6</f>
        <v>0.04542001634</v>
      </c>
      <c r="C18" s="34">
        <f t="shared" si="20"/>
        <v>0.0580256761</v>
      </c>
      <c r="D18" s="34">
        <f t="shared" si="20"/>
        <v>0.05456679347</v>
      </c>
      <c r="E18" s="35"/>
      <c r="F18" s="34">
        <f t="shared" ref="F18:H18" si="21">F17/F6</f>
        <v>0.06615613465</v>
      </c>
      <c r="G18" s="34">
        <f t="shared" si="21"/>
        <v>0.05361154357</v>
      </c>
      <c r="H18" s="34">
        <f t="shared" si="21"/>
        <v>0.04778794661</v>
      </c>
      <c r="I18" s="34">
        <v>0.043</v>
      </c>
      <c r="J18" s="34">
        <v>0.038</v>
      </c>
      <c r="K18" s="34">
        <v>0.033</v>
      </c>
      <c r="L18" s="36"/>
      <c r="M18" s="18"/>
      <c r="N18" s="18"/>
      <c r="O18" s="18"/>
      <c r="P18" s="18"/>
      <c r="Q18" s="18"/>
      <c r="R18" s="18"/>
      <c r="S18" s="18"/>
      <c r="T18" s="18"/>
    </row>
    <row r="19" ht="15.75" customHeight="1">
      <c r="A19" s="52" t="s">
        <v>32</v>
      </c>
      <c r="B19" s="54"/>
      <c r="C19" s="54"/>
      <c r="D19" s="54"/>
      <c r="E19" s="54"/>
      <c r="F19" s="54"/>
      <c r="G19" s="60">
        <v>382.93</v>
      </c>
      <c r="H19" s="60">
        <v>338.78</v>
      </c>
      <c r="I19" s="60">
        <v>309.59</v>
      </c>
      <c r="J19" s="60">
        <v>281.72</v>
      </c>
      <c r="K19" s="60">
        <v>249.93</v>
      </c>
      <c r="L19" s="55"/>
      <c r="M19" s="18"/>
      <c r="N19" s="18"/>
      <c r="O19" s="18"/>
      <c r="P19" s="18"/>
      <c r="Q19" s="18"/>
      <c r="R19" s="18"/>
      <c r="S19" s="18"/>
      <c r="T19" s="18"/>
    </row>
    <row r="20" ht="15.75" customHeight="1">
      <c r="A20" s="66" t="s">
        <v>33</v>
      </c>
      <c r="B20" s="67"/>
      <c r="G20" s="68">
        <f t="shared" ref="G20:K20" si="22">G15+G16-G17-G19</f>
        <v>8619.32</v>
      </c>
      <c r="H20" s="68">
        <f t="shared" si="22"/>
        <v>9951.22</v>
      </c>
      <c r="I20" s="68">
        <f t="shared" si="22"/>
        <v>10906.27128</v>
      </c>
      <c r="J20" s="68">
        <f t="shared" si="22"/>
        <v>11865.36968</v>
      </c>
      <c r="K20" s="68">
        <f t="shared" si="22"/>
        <v>12816.40599</v>
      </c>
      <c r="L20" s="69"/>
      <c r="M20" s="18"/>
      <c r="N20" s="18"/>
      <c r="O20" s="18"/>
      <c r="P20" s="18"/>
      <c r="Q20" s="18"/>
      <c r="R20" s="18"/>
      <c r="S20" s="18"/>
      <c r="T20" s="18"/>
    </row>
    <row r="21" ht="15.75" customHeight="1">
      <c r="A21" s="19" t="s">
        <v>34</v>
      </c>
      <c r="B21" s="35"/>
      <c r="G21" s="34">
        <v>0.114714650481355</v>
      </c>
      <c r="H21" s="34">
        <v>0.114714650481355</v>
      </c>
      <c r="I21" s="34">
        <v>0.114714650481355</v>
      </c>
      <c r="J21" s="34">
        <v>0.114714650481355</v>
      </c>
      <c r="K21" s="34">
        <v>0.114714650481355</v>
      </c>
      <c r="L21" s="36"/>
      <c r="M21" s="18"/>
      <c r="N21" s="18"/>
      <c r="O21" s="18"/>
      <c r="P21" s="18"/>
      <c r="Q21" s="18"/>
      <c r="R21" s="18"/>
      <c r="S21" s="18"/>
      <c r="T21" s="18"/>
    </row>
    <row r="22" ht="15.75" customHeight="1">
      <c r="A22" s="19" t="s">
        <v>35</v>
      </c>
      <c r="B22" s="35"/>
      <c r="G22" s="35">
        <v>0.5</v>
      </c>
      <c r="H22" s="35">
        <v>1.5</v>
      </c>
      <c r="I22" s="35">
        <v>2.5</v>
      </c>
      <c r="J22" s="35">
        <v>3.5</v>
      </c>
      <c r="K22" s="35">
        <v>4.5</v>
      </c>
      <c r="L22" s="36"/>
      <c r="M22" s="18"/>
      <c r="N22" s="18"/>
      <c r="O22" s="18"/>
      <c r="P22" s="18"/>
      <c r="Q22" s="18"/>
      <c r="R22" s="18"/>
      <c r="S22" s="18"/>
      <c r="T22" s="18"/>
    </row>
    <row r="23" ht="15.75" customHeight="1">
      <c r="A23" s="52" t="s">
        <v>36</v>
      </c>
      <c r="B23" s="54"/>
      <c r="C23" s="10"/>
      <c r="D23" s="10"/>
      <c r="E23" s="10"/>
      <c r="F23" s="10"/>
      <c r="G23" s="70">
        <f t="shared" ref="G23:K23" si="23">(1)/(1+G21)^(G22)</f>
        <v>0.947148652</v>
      </c>
      <c r="H23" s="70">
        <f t="shared" si="23"/>
        <v>0.8496781231</v>
      </c>
      <c r="I23" s="70">
        <f t="shared" si="23"/>
        <v>0.7622382308</v>
      </c>
      <c r="J23" s="70">
        <f t="shared" si="23"/>
        <v>0.6837967282</v>
      </c>
      <c r="K23" s="70">
        <f t="shared" si="23"/>
        <v>0.6134275959</v>
      </c>
      <c r="L23" s="55"/>
      <c r="M23" s="18"/>
      <c r="N23" s="18"/>
      <c r="O23" s="18"/>
      <c r="P23" s="18"/>
      <c r="Q23" s="18"/>
      <c r="R23" s="18"/>
      <c r="S23" s="18"/>
      <c r="T23" s="18"/>
    </row>
    <row r="24" ht="15.75" customHeight="1">
      <c r="A24" s="71" t="s">
        <v>37</v>
      </c>
      <c r="B24" s="54"/>
      <c r="C24" s="10"/>
      <c r="D24" s="10"/>
      <c r="E24" s="10"/>
      <c r="F24" s="10"/>
      <c r="G24" s="72">
        <f t="shared" ref="G24:K24" si="24">G20*G23</f>
        <v>8163.777319</v>
      </c>
      <c r="H24" s="72">
        <f t="shared" si="24"/>
        <v>8455.333932</v>
      </c>
      <c r="I24" s="72">
        <f t="shared" si="24"/>
        <v>8313.176925</v>
      </c>
      <c r="J24" s="72">
        <f t="shared" si="24"/>
        <v>8113.500966</v>
      </c>
      <c r="K24" s="72">
        <f t="shared" si="24"/>
        <v>7861.937115</v>
      </c>
      <c r="L24" s="55"/>
      <c r="M24" s="18"/>
      <c r="N24" s="18"/>
      <c r="O24" s="18"/>
      <c r="P24" s="18"/>
      <c r="Q24" s="18"/>
      <c r="R24" s="18"/>
      <c r="S24" s="18"/>
      <c r="T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</row>
    <row r="26" ht="15.75" customHeight="1">
      <c r="A26" s="23" t="s">
        <v>38</v>
      </c>
      <c r="B26" s="25"/>
      <c r="C26" s="18"/>
      <c r="D26" s="23" t="s">
        <v>39</v>
      </c>
      <c r="E26" s="24"/>
      <c r="F26" s="24"/>
      <c r="G26" s="25"/>
      <c r="H26" s="18"/>
      <c r="I26" s="23" t="s">
        <v>40</v>
      </c>
      <c r="J26" s="24"/>
      <c r="K26" s="25"/>
      <c r="L26" s="18"/>
      <c r="M26" s="18"/>
      <c r="N26" s="18"/>
      <c r="O26" s="18"/>
      <c r="P26" s="18"/>
      <c r="Q26" s="18"/>
      <c r="R26" s="18"/>
      <c r="S26" s="18"/>
      <c r="T26" s="18"/>
    </row>
    <row r="27" ht="15.75" customHeight="1">
      <c r="A27" s="73" t="s">
        <v>41</v>
      </c>
      <c r="B27" s="74">
        <f>SUM(G24:K24)</f>
        <v>40907.72626</v>
      </c>
      <c r="C27" s="18"/>
      <c r="D27" s="73" t="s">
        <v>38</v>
      </c>
      <c r="E27" s="2"/>
      <c r="F27" s="2"/>
      <c r="G27" s="74">
        <f>B36</f>
        <v>121756.2133</v>
      </c>
      <c r="H27" s="18"/>
      <c r="I27" s="75" t="s">
        <v>42</v>
      </c>
      <c r="J27" s="2"/>
      <c r="K27" s="76">
        <f>B31</f>
        <v>139152.317</v>
      </c>
      <c r="L27" s="18"/>
      <c r="M27" s="18"/>
      <c r="N27" s="18"/>
      <c r="O27" s="18"/>
      <c r="P27" s="18"/>
      <c r="Q27" s="18"/>
      <c r="R27" s="18"/>
      <c r="S27" s="18"/>
      <c r="T27" s="18"/>
    </row>
    <row r="28" ht="15.75" customHeight="1">
      <c r="A28" s="31"/>
      <c r="B28" s="77"/>
      <c r="C28" s="18"/>
      <c r="D28" s="19" t="s">
        <v>43</v>
      </c>
      <c r="G28" s="43">
        <v>5170.1</v>
      </c>
      <c r="H28" s="18"/>
      <c r="I28" s="31" t="s">
        <v>14</v>
      </c>
      <c r="K28" s="78">
        <f>K21</f>
        <v>0.1147146505</v>
      </c>
      <c r="L28" s="18"/>
      <c r="M28" s="18"/>
      <c r="N28" s="18"/>
      <c r="O28" s="18"/>
      <c r="P28" s="18"/>
      <c r="Q28" s="18"/>
      <c r="R28" s="18"/>
      <c r="S28" s="18"/>
      <c r="T28" s="18"/>
    </row>
    <row r="29" ht="15.75" customHeight="1">
      <c r="A29" s="19" t="s">
        <v>44</v>
      </c>
      <c r="B29" s="43">
        <f>K8</f>
        <v>21083.6844</v>
      </c>
      <c r="C29" s="18"/>
      <c r="D29" s="19" t="s">
        <v>45</v>
      </c>
      <c r="G29" s="79" t="s">
        <v>46</v>
      </c>
      <c r="H29" s="18"/>
      <c r="I29" s="80" t="s">
        <v>47</v>
      </c>
      <c r="J29" s="10"/>
      <c r="K29" s="81">
        <f>K20</f>
        <v>12816.40599</v>
      </c>
      <c r="L29" s="18"/>
      <c r="M29" s="18"/>
      <c r="N29" s="18"/>
      <c r="O29" s="18"/>
      <c r="P29" s="18"/>
      <c r="Q29" s="18"/>
      <c r="R29" s="18"/>
      <c r="S29" s="18"/>
      <c r="T29" s="18"/>
    </row>
    <row r="30" ht="15.75" customHeight="1">
      <c r="A30" s="52" t="s">
        <v>48</v>
      </c>
      <c r="B30" s="82">
        <v>6.6</v>
      </c>
      <c r="C30" s="18"/>
      <c r="D30" s="19" t="s">
        <v>49</v>
      </c>
      <c r="G30" s="43">
        <v>120.6</v>
      </c>
      <c r="H30" s="18"/>
      <c r="I30" s="83" t="s">
        <v>40</v>
      </c>
      <c r="J30" s="10"/>
      <c r="K30" s="84">
        <f>((K27*K28)-(K29*(1+K28)^0.5))/(K27+(K29*(1+K28)^0.5))</f>
        <v>0.015923369</v>
      </c>
      <c r="L30" s="18"/>
      <c r="M30" s="18"/>
      <c r="N30" s="18"/>
      <c r="O30" s="18"/>
      <c r="P30" s="18"/>
      <c r="Q30" s="18"/>
      <c r="R30" s="18"/>
      <c r="S30" s="18"/>
      <c r="T30" s="18"/>
    </row>
    <row r="31" ht="15.75" customHeight="1">
      <c r="A31" s="19" t="s">
        <v>42</v>
      </c>
      <c r="B31" s="43">
        <f>B29*B30</f>
        <v>139152.317</v>
      </c>
      <c r="C31" s="18"/>
      <c r="D31" s="52" t="s">
        <v>50</v>
      </c>
      <c r="E31" s="10"/>
      <c r="F31" s="10"/>
      <c r="G31" s="61">
        <v>14379.9</v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</row>
    <row r="32" ht="15.75" customHeight="1">
      <c r="A32" s="52" t="s">
        <v>51</v>
      </c>
      <c r="B32" s="85">
        <f>(1)/(1+K21)^(5)</f>
        <v>0.5810071205</v>
      </c>
      <c r="C32" s="18"/>
      <c r="D32" s="86" t="s">
        <v>52</v>
      </c>
      <c r="G32" s="87">
        <f>G27-G28-G30+G31</f>
        <v>130845.4133</v>
      </c>
      <c r="H32" s="18"/>
      <c r="I32" s="23" t="s">
        <v>53</v>
      </c>
      <c r="J32" s="24"/>
      <c r="K32" s="25"/>
      <c r="L32" s="18"/>
      <c r="M32" s="18"/>
      <c r="N32" s="18"/>
      <c r="O32" s="18"/>
      <c r="P32" s="18"/>
      <c r="Q32" s="18"/>
      <c r="R32" s="18"/>
      <c r="S32" s="18"/>
      <c r="T32" s="18"/>
    </row>
    <row r="33" ht="15.75" customHeight="1">
      <c r="A33" s="27" t="s">
        <v>54</v>
      </c>
      <c r="B33" s="88">
        <f>B31*B32</f>
        <v>80848.48704</v>
      </c>
      <c r="C33" s="18"/>
      <c r="D33" s="19" t="s">
        <v>55</v>
      </c>
      <c r="G33" s="43">
        <v>17968.61</v>
      </c>
      <c r="H33" s="18"/>
      <c r="I33" s="19" t="s">
        <v>38</v>
      </c>
      <c r="K33" s="89">
        <f>B36</f>
        <v>121756.2133</v>
      </c>
      <c r="L33" s="18"/>
      <c r="M33" s="18"/>
      <c r="N33" s="18"/>
      <c r="O33" s="18"/>
      <c r="P33" s="18"/>
      <c r="Q33" s="18"/>
      <c r="R33" s="18"/>
      <c r="S33" s="18"/>
      <c r="T33" s="18"/>
    </row>
    <row r="34" ht="15.75" customHeight="1">
      <c r="A34" s="19" t="s">
        <v>56</v>
      </c>
      <c r="B34" s="90">
        <f>B33/B36</f>
        <v>0.6640193946</v>
      </c>
      <c r="C34" s="18"/>
      <c r="D34" s="91" t="s">
        <v>57</v>
      </c>
      <c r="E34" s="24"/>
      <c r="F34" s="24"/>
      <c r="G34" s="92">
        <f>G32/G33</f>
        <v>7.281888432</v>
      </c>
      <c r="H34" s="18"/>
      <c r="I34" s="52" t="s">
        <v>58</v>
      </c>
      <c r="J34" s="10"/>
      <c r="K34" s="61">
        <v>16147.9</v>
      </c>
      <c r="L34" s="18"/>
      <c r="M34" s="18"/>
      <c r="N34" s="18"/>
      <c r="O34" s="18"/>
      <c r="P34" s="18"/>
      <c r="Q34" s="18"/>
      <c r="R34" s="18"/>
      <c r="S34" s="18"/>
      <c r="T34" s="18"/>
    </row>
    <row r="35" ht="15.75" customHeight="1">
      <c r="A35" s="19"/>
      <c r="B35" s="36"/>
      <c r="C35" s="18"/>
      <c r="D35" s="18"/>
      <c r="E35" s="18"/>
      <c r="F35" s="18"/>
      <c r="G35" s="18"/>
      <c r="H35" s="18"/>
      <c r="I35" s="93" t="s">
        <v>53</v>
      </c>
      <c r="J35" s="10"/>
      <c r="K35" s="94">
        <f>K33/K34</f>
        <v>7.540064856</v>
      </c>
      <c r="L35" s="18"/>
      <c r="M35" s="18"/>
      <c r="N35" s="18"/>
      <c r="O35" s="18"/>
      <c r="P35" s="18"/>
      <c r="Q35" s="18"/>
      <c r="R35" s="18"/>
      <c r="S35" s="18"/>
      <c r="T35" s="18"/>
    </row>
    <row r="36" ht="15.75" customHeight="1">
      <c r="A36" s="91" t="s">
        <v>38</v>
      </c>
      <c r="B36" s="92">
        <f>B27+B33</f>
        <v>121756.2133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</row>
    <row r="37" ht="15.75" customHeight="1">
      <c r="A37" s="95" t="s">
        <v>59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</row>
    <row r="38" ht="15.75" customHeight="1">
      <c r="A38" s="95" t="s">
        <v>60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</row>
    <row r="39" ht="15.75" customHeight="1">
      <c r="A39" s="95" t="s">
        <v>61</v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</row>
    <row r="40" ht="15.75" customHeight="1">
      <c r="A40" s="95" t="s">
        <v>62</v>
      </c>
    </row>
    <row r="41" ht="15.75" customHeight="1">
      <c r="A41" s="96" t="s">
        <v>63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2">
    <mergeCell ref="A1:S1"/>
    <mergeCell ref="A2:S2"/>
    <mergeCell ref="A3:S3"/>
    <mergeCell ref="B4:D4"/>
    <mergeCell ref="G4:K4"/>
    <mergeCell ref="N5:S5"/>
    <mergeCell ref="O6:S6"/>
    <mergeCell ref="N14:O14"/>
    <mergeCell ref="P14:Q14"/>
    <mergeCell ref="N15:O15"/>
    <mergeCell ref="P15:Q15"/>
    <mergeCell ref="N16:O16"/>
    <mergeCell ref="P16:Q16"/>
    <mergeCell ref="B20:F20"/>
    <mergeCell ref="D28:F28"/>
    <mergeCell ref="D29:F29"/>
    <mergeCell ref="D30:F30"/>
    <mergeCell ref="D31:F31"/>
    <mergeCell ref="D32:F32"/>
    <mergeCell ref="D33:F33"/>
    <mergeCell ref="D34:F34"/>
    <mergeCell ref="B21:F21"/>
    <mergeCell ref="B22:F22"/>
    <mergeCell ref="B23:F23"/>
    <mergeCell ref="B24:F24"/>
    <mergeCell ref="A26:B26"/>
    <mergeCell ref="D26:G26"/>
    <mergeCell ref="D27:F27"/>
    <mergeCell ref="I34:J34"/>
    <mergeCell ref="I35:J35"/>
    <mergeCell ref="A37:B37"/>
    <mergeCell ref="A38:B38"/>
    <mergeCell ref="A39:B39"/>
    <mergeCell ref="A40:B40"/>
    <mergeCell ref="A41:B41"/>
    <mergeCell ref="I26:K26"/>
    <mergeCell ref="I27:J27"/>
    <mergeCell ref="I28:J28"/>
    <mergeCell ref="I29:J29"/>
    <mergeCell ref="I30:J30"/>
    <mergeCell ref="I32:K32"/>
    <mergeCell ref="I33:J3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5.5"/>
    <col customWidth="1" min="2" max="20" width="12.63"/>
  </cols>
  <sheetData>
    <row r="1" ht="15.75" customHeight="1">
      <c r="A1" s="97" t="s">
        <v>64</v>
      </c>
      <c r="B1" s="2"/>
      <c r="C1" s="2"/>
      <c r="D1" s="2"/>
      <c r="E1" s="2"/>
      <c r="F1" s="2"/>
      <c r="G1" s="2"/>
      <c r="H1" s="2"/>
      <c r="I1" s="2"/>
      <c r="J1" s="3"/>
      <c r="K1" s="98"/>
      <c r="L1" s="98"/>
      <c r="M1" s="4"/>
      <c r="N1" s="4"/>
      <c r="O1" s="4"/>
      <c r="P1" s="4"/>
      <c r="Q1" s="4"/>
      <c r="R1" s="4"/>
      <c r="S1" s="4"/>
      <c r="T1" s="4"/>
    </row>
    <row r="2" ht="15.75" customHeight="1">
      <c r="A2" s="9" t="s">
        <v>2</v>
      </c>
      <c r="B2" s="10"/>
      <c r="C2" s="10"/>
      <c r="D2" s="10"/>
      <c r="E2" s="10"/>
      <c r="F2" s="10"/>
      <c r="G2" s="10"/>
      <c r="H2" s="10"/>
      <c r="I2" s="10"/>
      <c r="J2" s="11"/>
      <c r="K2" s="98"/>
      <c r="L2" s="98"/>
      <c r="M2" s="4"/>
      <c r="N2" s="4"/>
      <c r="O2" s="4"/>
      <c r="P2" s="4"/>
      <c r="Q2" s="4"/>
      <c r="R2" s="4"/>
      <c r="S2" s="4"/>
      <c r="T2" s="8"/>
    </row>
    <row r="3" ht="15.75" customHeight="1">
      <c r="A3" s="13"/>
      <c r="B3" s="14" t="s">
        <v>3</v>
      </c>
      <c r="C3" s="2"/>
      <c r="D3" s="2"/>
      <c r="E3" s="99" t="s">
        <v>5</v>
      </c>
      <c r="F3" s="14" t="s">
        <v>6</v>
      </c>
      <c r="G3" s="2"/>
      <c r="H3" s="2"/>
      <c r="I3" s="2"/>
      <c r="J3" s="3"/>
      <c r="K3" s="98"/>
      <c r="L3" s="98"/>
      <c r="M3" s="4"/>
      <c r="N3" s="4"/>
      <c r="O3" s="4"/>
      <c r="P3" s="4"/>
      <c r="Q3" s="4"/>
      <c r="R3" s="4"/>
      <c r="S3" s="4"/>
    </row>
    <row r="4" ht="15.75" customHeight="1">
      <c r="A4" s="19"/>
      <c r="B4" s="20">
        <v>2023.0</v>
      </c>
      <c r="C4" s="20">
        <v>2024.0</v>
      </c>
      <c r="D4" s="20">
        <v>2025.0</v>
      </c>
      <c r="E4" s="100">
        <v>2026.0</v>
      </c>
      <c r="F4" s="20">
        <v>2027.0</v>
      </c>
      <c r="G4" s="20">
        <v>2028.0</v>
      </c>
      <c r="H4" s="20">
        <v>2029.0</v>
      </c>
      <c r="I4" s="20">
        <v>2030.0</v>
      </c>
      <c r="J4" s="101">
        <v>2031.0</v>
      </c>
      <c r="K4" s="98"/>
      <c r="L4" s="98"/>
      <c r="M4" s="18"/>
      <c r="N4" s="18"/>
      <c r="O4" s="18"/>
      <c r="P4" s="18"/>
      <c r="Q4" s="18"/>
      <c r="R4" s="18"/>
      <c r="S4" s="18"/>
    </row>
    <row r="5" ht="15.75" customHeight="1">
      <c r="A5" s="19" t="s">
        <v>10</v>
      </c>
      <c r="B5" s="102">
        <v>80169.5</v>
      </c>
      <c r="C5" s="102">
        <v>83120.1</v>
      </c>
      <c r="D5" s="102">
        <v>86483.0</v>
      </c>
      <c r="E5" s="103">
        <v>90755.0</v>
      </c>
      <c r="F5" s="102">
        <v>95707.0</v>
      </c>
      <c r="G5" s="102">
        <v>100088.0</v>
      </c>
      <c r="H5" s="102">
        <v>104091.52</v>
      </c>
      <c r="I5" s="102">
        <v>107734.72</v>
      </c>
      <c r="J5" s="89">
        <v>110966.76</v>
      </c>
      <c r="K5" s="98"/>
      <c r="L5" s="98"/>
      <c r="M5" s="18"/>
      <c r="N5" s="18"/>
      <c r="O5" s="18"/>
      <c r="P5" s="18"/>
      <c r="Q5" s="18"/>
      <c r="R5" s="18"/>
      <c r="S5" s="18"/>
      <c r="T5" s="26"/>
    </row>
    <row r="6" ht="15.75" customHeight="1">
      <c r="A6" s="31" t="s">
        <v>65</v>
      </c>
      <c r="B6" s="104">
        <v>52669.7</v>
      </c>
      <c r="C6" s="104">
        <v>51742.5</v>
      </c>
      <c r="D6" s="104">
        <v>54837.9</v>
      </c>
      <c r="E6" s="105">
        <f t="shared" ref="E6:J6" si="1">E5*E7</f>
        <v>57546.72727</v>
      </c>
      <c r="F6" s="104">
        <f t="shared" si="1"/>
        <v>60686.73491</v>
      </c>
      <c r="G6" s="104">
        <f t="shared" si="1"/>
        <v>63464.67786</v>
      </c>
      <c r="H6" s="104">
        <f t="shared" si="1"/>
        <v>66003.26497</v>
      </c>
      <c r="I6" s="104">
        <f t="shared" si="1"/>
        <v>68313.37722</v>
      </c>
      <c r="J6" s="106">
        <f t="shared" si="1"/>
        <v>70362.77752</v>
      </c>
      <c r="M6" s="18"/>
      <c r="N6" s="18"/>
      <c r="O6" s="18"/>
      <c r="P6" s="18"/>
      <c r="Q6" s="18"/>
      <c r="R6" s="18"/>
      <c r="S6" s="18"/>
      <c r="T6" s="32"/>
    </row>
    <row r="7" ht="15.75" customHeight="1">
      <c r="A7" s="19" t="s">
        <v>66</v>
      </c>
      <c r="B7" s="107">
        <f t="shared" ref="B7:D7" si="2">B6/B5</f>
        <v>0.6569792752</v>
      </c>
      <c r="C7" s="107">
        <f t="shared" si="2"/>
        <v>0.6225028603</v>
      </c>
      <c r="D7" s="107">
        <f t="shared" si="2"/>
        <v>0.6340887805</v>
      </c>
      <c r="E7" s="108">
        <f t="shared" ref="E7:J7" si="3">D7</f>
        <v>0.6340887805</v>
      </c>
      <c r="F7" s="107">
        <f t="shared" si="3"/>
        <v>0.6340887805</v>
      </c>
      <c r="G7" s="107">
        <f t="shared" si="3"/>
        <v>0.6340887805</v>
      </c>
      <c r="H7" s="107">
        <f t="shared" si="3"/>
        <v>0.6340887805</v>
      </c>
      <c r="I7" s="107">
        <f t="shared" si="3"/>
        <v>0.6340887805</v>
      </c>
      <c r="J7" s="109">
        <f t="shared" si="3"/>
        <v>0.6340887805</v>
      </c>
      <c r="M7" s="18"/>
      <c r="N7" s="18"/>
      <c r="O7" s="18"/>
      <c r="P7" s="18"/>
      <c r="Q7" s="18"/>
      <c r="R7" s="18"/>
      <c r="S7" s="18"/>
      <c r="T7" s="40"/>
    </row>
    <row r="8" ht="15.75" customHeight="1">
      <c r="A8" s="31"/>
      <c r="B8" s="110"/>
      <c r="C8" s="110"/>
      <c r="D8" s="110"/>
      <c r="E8" s="111"/>
      <c r="F8" s="110"/>
      <c r="G8" s="110"/>
      <c r="H8" s="110"/>
      <c r="I8" s="110"/>
      <c r="J8" s="77"/>
      <c r="M8" s="18"/>
      <c r="N8" s="18"/>
      <c r="O8" s="18"/>
      <c r="P8" s="18"/>
      <c r="Q8" s="18"/>
      <c r="R8" s="18"/>
      <c r="S8" s="18"/>
      <c r="T8" s="32"/>
    </row>
    <row r="9" ht="15.75" customHeight="1">
      <c r="A9" s="27" t="s">
        <v>67</v>
      </c>
      <c r="B9" s="35"/>
      <c r="C9" s="35"/>
      <c r="D9" s="35"/>
      <c r="E9" s="112"/>
      <c r="F9" s="35"/>
      <c r="G9" s="35"/>
      <c r="H9" s="35"/>
      <c r="I9" s="35"/>
      <c r="J9" s="36"/>
      <c r="K9" s="18"/>
      <c r="L9" s="18"/>
      <c r="M9" s="18"/>
      <c r="N9" s="18"/>
      <c r="O9" s="18"/>
      <c r="P9" s="18"/>
      <c r="Q9" s="18"/>
      <c r="R9" s="18"/>
      <c r="S9" s="18"/>
      <c r="T9" s="40"/>
    </row>
    <row r="10" ht="15.75" customHeight="1">
      <c r="A10" s="19" t="s">
        <v>68</v>
      </c>
      <c r="B10" s="42">
        <v>6410.14</v>
      </c>
      <c r="C10" s="42">
        <v>7709.72</v>
      </c>
      <c r="D10" s="42">
        <v>8400.98</v>
      </c>
      <c r="E10" s="113">
        <f t="shared" ref="E10:J10" si="4">(E5/365)*E27</f>
        <v>8815.963136</v>
      </c>
      <c r="F10" s="42">
        <f t="shared" si="4"/>
        <v>9297.00164</v>
      </c>
      <c r="G10" s="42">
        <f t="shared" si="4"/>
        <v>9722.573063</v>
      </c>
      <c r="H10" s="42">
        <f t="shared" si="4"/>
        <v>10111.47599</v>
      </c>
      <c r="I10" s="42">
        <f t="shared" si="4"/>
        <v>10465.37733</v>
      </c>
      <c r="J10" s="43">
        <f t="shared" si="4"/>
        <v>10779.3385</v>
      </c>
      <c r="K10" s="18"/>
      <c r="L10" s="18"/>
      <c r="M10" s="18"/>
      <c r="N10" s="18"/>
      <c r="O10" s="18"/>
      <c r="P10" s="18"/>
      <c r="Q10" s="18"/>
      <c r="R10" s="18"/>
      <c r="S10" s="18"/>
      <c r="T10" s="40"/>
    </row>
    <row r="11" ht="15.75" customHeight="1">
      <c r="A11" s="19" t="s">
        <v>69</v>
      </c>
      <c r="B11" s="42">
        <v>9186.53</v>
      </c>
      <c r="C11" s="42">
        <v>8920.79</v>
      </c>
      <c r="D11" s="42">
        <v>8971.75</v>
      </c>
      <c r="E11" s="113">
        <f t="shared" ref="E11:J11" si="5">(E6/365)*E28</f>
        <v>9414.927457</v>
      </c>
      <c r="F11" s="42">
        <f t="shared" si="5"/>
        <v>9928.648142</v>
      </c>
      <c r="G11" s="42">
        <f t="shared" si="5"/>
        <v>10383.13326</v>
      </c>
      <c r="H11" s="42">
        <f t="shared" si="5"/>
        <v>10798.45859</v>
      </c>
      <c r="I11" s="42">
        <f t="shared" si="5"/>
        <v>11176.40431</v>
      </c>
      <c r="J11" s="43">
        <f t="shared" si="5"/>
        <v>11511.69628</v>
      </c>
      <c r="K11" s="18"/>
      <c r="L11" s="18"/>
      <c r="M11" s="18"/>
      <c r="N11" s="18"/>
      <c r="O11" s="18"/>
      <c r="P11" s="18"/>
      <c r="Q11" s="18"/>
      <c r="R11" s="18"/>
      <c r="S11" s="18"/>
      <c r="T11" s="40"/>
    </row>
    <row r="12" ht="15.75" customHeight="1">
      <c r="A12" s="52" t="s">
        <v>70</v>
      </c>
      <c r="B12" s="60">
        <v>1099.67</v>
      </c>
      <c r="C12" s="60">
        <v>1326.15</v>
      </c>
      <c r="D12" s="60">
        <v>1756.24</v>
      </c>
      <c r="E12" s="114">
        <f t="shared" ref="E12:J12" si="6">E5*E29</f>
        <v>1842.992972</v>
      </c>
      <c r="F12" s="60">
        <f t="shared" si="6"/>
        <v>1943.554938</v>
      </c>
      <c r="G12" s="60">
        <f t="shared" si="6"/>
        <v>2032.52141</v>
      </c>
      <c r="H12" s="60">
        <f t="shared" si="6"/>
        <v>2113.822267</v>
      </c>
      <c r="I12" s="60">
        <f t="shared" si="6"/>
        <v>2187.805981</v>
      </c>
      <c r="J12" s="61">
        <f t="shared" si="6"/>
        <v>2253.440128</v>
      </c>
      <c r="K12" s="18"/>
      <c r="L12" s="18"/>
      <c r="M12" s="18"/>
      <c r="N12" s="18"/>
      <c r="O12" s="18"/>
      <c r="P12" s="18"/>
      <c r="Q12" s="18"/>
      <c r="R12" s="18"/>
      <c r="S12" s="18"/>
      <c r="T12" s="40"/>
    </row>
    <row r="13" ht="15.75" customHeight="1">
      <c r="A13" s="19" t="s">
        <v>71</v>
      </c>
      <c r="B13" s="28">
        <f t="shared" ref="B13:J13" si="7">SUM(B10:B12)</f>
        <v>16696.34</v>
      </c>
      <c r="C13" s="28">
        <f t="shared" si="7"/>
        <v>17956.66</v>
      </c>
      <c r="D13" s="28">
        <f t="shared" si="7"/>
        <v>19128.97</v>
      </c>
      <c r="E13" s="115">
        <f t="shared" si="7"/>
        <v>20073.88356</v>
      </c>
      <c r="F13" s="28">
        <f t="shared" si="7"/>
        <v>21169.20472</v>
      </c>
      <c r="G13" s="28">
        <f t="shared" si="7"/>
        <v>22138.22774</v>
      </c>
      <c r="H13" s="28">
        <f t="shared" si="7"/>
        <v>23023.75685</v>
      </c>
      <c r="I13" s="28">
        <f t="shared" si="7"/>
        <v>23829.58763</v>
      </c>
      <c r="J13" s="88">
        <f t="shared" si="7"/>
        <v>24544.4749</v>
      </c>
      <c r="K13" s="18"/>
      <c r="L13" s="18"/>
      <c r="M13" s="18"/>
      <c r="N13" s="18"/>
      <c r="O13" s="18"/>
      <c r="P13" s="18"/>
      <c r="Q13" s="18"/>
      <c r="R13" s="18"/>
      <c r="S13" s="18"/>
      <c r="T13" s="40"/>
    </row>
    <row r="14" ht="15.75" customHeight="1">
      <c r="A14" s="31"/>
      <c r="B14" s="35"/>
      <c r="C14" s="35"/>
      <c r="D14" s="35"/>
      <c r="E14" s="112"/>
      <c r="F14" s="35"/>
      <c r="G14" s="35"/>
      <c r="H14" s="35"/>
      <c r="I14" s="35"/>
      <c r="J14" s="36"/>
      <c r="K14" s="18"/>
      <c r="L14" s="18"/>
      <c r="M14" s="18"/>
      <c r="N14" s="18"/>
      <c r="O14" s="18"/>
      <c r="P14" s="18"/>
      <c r="Q14" s="18"/>
      <c r="R14" s="18"/>
      <c r="S14" s="18"/>
      <c r="T14" s="40"/>
    </row>
    <row r="15" ht="15.75" customHeight="1">
      <c r="A15" s="27" t="s">
        <v>72</v>
      </c>
      <c r="B15" s="35"/>
      <c r="C15" s="35"/>
      <c r="D15" s="35"/>
      <c r="E15" s="112"/>
      <c r="F15" s="35"/>
      <c r="G15" s="35"/>
      <c r="H15" s="35"/>
      <c r="I15" s="35"/>
      <c r="J15" s="36"/>
      <c r="K15" s="18"/>
      <c r="L15" s="18"/>
      <c r="M15" s="18"/>
      <c r="N15" s="18"/>
      <c r="O15" s="18"/>
      <c r="P15" s="18"/>
      <c r="Q15" s="18"/>
      <c r="R15" s="18"/>
      <c r="S15" s="18"/>
      <c r="T15" s="40"/>
    </row>
    <row r="16" ht="15.75" customHeight="1">
      <c r="A16" s="19" t="s">
        <v>73</v>
      </c>
      <c r="B16" s="42">
        <v>4961.12</v>
      </c>
      <c r="C16" s="42">
        <v>6309.88</v>
      </c>
      <c r="D16" s="42">
        <v>6143.84</v>
      </c>
      <c r="E16" s="113">
        <f t="shared" ref="E16:J16" si="8">(E6/365)*E32</f>
        <v>6447.327211</v>
      </c>
      <c r="F16" s="42">
        <f t="shared" si="8"/>
        <v>6799.122312</v>
      </c>
      <c r="G16" s="42">
        <f t="shared" si="8"/>
        <v>7110.352993</v>
      </c>
      <c r="H16" s="42">
        <f t="shared" si="8"/>
        <v>7394.767113</v>
      </c>
      <c r="I16" s="42">
        <f t="shared" si="8"/>
        <v>7653.583735</v>
      </c>
      <c r="J16" s="43">
        <f t="shared" si="8"/>
        <v>7883.191133</v>
      </c>
      <c r="K16" s="18"/>
      <c r="L16" s="18"/>
      <c r="M16" s="18"/>
      <c r="N16" s="18"/>
      <c r="O16" s="18"/>
      <c r="P16" s="18"/>
      <c r="Q16" s="18"/>
      <c r="R16" s="18"/>
      <c r="S16" s="18"/>
    </row>
    <row r="17" ht="15.75" customHeight="1">
      <c r="A17" s="19" t="s">
        <v>74</v>
      </c>
      <c r="B17" s="42">
        <v>1539.02</v>
      </c>
      <c r="C17" s="42">
        <v>2077.09</v>
      </c>
      <c r="D17" s="42">
        <v>2418.84</v>
      </c>
      <c r="E17" s="113">
        <f t="shared" ref="E17:J17" si="9">E5*E33</f>
        <v>2538.323418</v>
      </c>
      <c r="F17" s="42">
        <f t="shared" si="9"/>
        <v>2676.825733</v>
      </c>
      <c r="G17" s="42">
        <f t="shared" si="9"/>
        <v>2799.357769</v>
      </c>
      <c r="H17" s="42">
        <f t="shared" si="9"/>
        <v>2911.33208</v>
      </c>
      <c r="I17" s="42">
        <f t="shared" si="9"/>
        <v>3013.228613</v>
      </c>
      <c r="J17" s="43">
        <f t="shared" si="9"/>
        <v>3103.625426</v>
      </c>
      <c r="K17" s="18"/>
      <c r="L17" s="18"/>
      <c r="M17" s="18"/>
      <c r="N17" s="18"/>
      <c r="O17" s="18"/>
      <c r="P17" s="18"/>
      <c r="Q17" s="18"/>
      <c r="R17" s="18"/>
      <c r="S17" s="18"/>
    </row>
    <row r="18" ht="15.75" customHeight="1">
      <c r="A18" s="52" t="s">
        <v>75</v>
      </c>
      <c r="B18" s="60">
        <v>5184.18</v>
      </c>
      <c r="C18" s="60">
        <v>4163.35</v>
      </c>
      <c r="D18" s="60">
        <v>3878.7</v>
      </c>
      <c r="E18" s="114">
        <f t="shared" ref="E18:J18" si="10">E5*E34</f>
        <v>4070.29611</v>
      </c>
      <c r="F18" s="60">
        <f t="shared" si="10"/>
        <v>4292.389729</v>
      </c>
      <c r="G18" s="60">
        <f t="shared" si="10"/>
        <v>4488.87441</v>
      </c>
      <c r="H18" s="60">
        <f t="shared" si="10"/>
        <v>4668.429386</v>
      </c>
      <c r="I18" s="60">
        <f t="shared" si="10"/>
        <v>4831.824271</v>
      </c>
      <c r="J18" s="61">
        <f t="shared" si="10"/>
        <v>4976.778928</v>
      </c>
      <c r="K18" s="18"/>
      <c r="L18" s="18"/>
      <c r="M18" s="18"/>
      <c r="N18" s="18"/>
      <c r="O18" s="18"/>
      <c r="P18" s="18"/>
      <c r="Q18" s="18"/>
      <c r="R18" s="18"/>
      <c r="S18" s="18"/>
    </row>
    <row r="19" ht="15.75" customHeight="1">
      <c r="A19" s="19" t="s">
        <v>76</v>
      </c>
      <c r="B19" s="28">
        <f t="shared" ref="B19:J19" si="11">SUM(B16:B18)</f>
        <v>11684.32</v>
      </c>
      <c r="C19" s="28">
        <f t="shared" si="11"/>
        <v>12550.32</v>
      </c>
      <c r="D19" s="28">
        <f t="shared" si="11"/>
        <v>12441.38</v>
      </c>
      <c r="E19" s="115">
        <f t="shared" si="11"/>
        <v>13055.94674</v>
      </c>
      <c r="F19" s="28">
        <f t="shared" si="11"/>
        <v>13768.33777</v>
      </c>
      <c r="G19" s="28">
        <f t="shared" si="11"/>
        <v>14398.58517</v>
      </c>
      <c r="H19" s="28">
        <f t="shared" si="11"/>
        <v>14974.52858</v>
      </c>
      <c r="I19" s="28">
        <f t="shared" si="11"/>
        <v>15498.63662</v>
      </c>
      <c r="J19" s="88">
        <f t="shared" si="11"/>
        <v>15963.59549</v>
      </c>
      <c r="K19" s="18"/>
      <c r="L19" s="18"/>
      <c r="M19" s="18"/>
      <c r="N19" s="18"/>
      <c r="O19" s="18"/>
      <c r="P19" s="18"/>
      <c r="Q19" s="18"/>
      <c r="R19" s="18"/>
      <c r="S19" s="18"/>
    </row>
    <row r="20" ht="15.75" customHeight="1">
      <c r="A20" s="19"/>
      <c r="B20" s="35"/>
      <c r="C20" s="35"/>
      <c r="D20" s="35"/>
      <c r="E20" s="112"/>
      <c r="F20" s="35"/>
      <c r="G20" s="35"/>
      <c r="H20" s="35"/>
      <c r="I20" s="35"/>
      <c r="J20" s="36"/>
      <c r="K20" s="18"/>
      <c r="L20" s="18"/>
      <c r="M20" s="18"/>
      <c r="N20" s="18"/>
      <c r="O20" s="18"/>
      <c r="P20" s="18"/>
      <c r="Q20" s="18"/>
      <c r="R20" s="18"/>
      <c r="S20" s="18"/>
    </row>
    <row r="21" ht="15.75" customHeight="1">
      <c r="A21" s="27" t="s">
        <v>77</v>
      </c>
      <c r="B21" s="28">
        <f t="shared" ref="B21:J21" si="12">B13-B19</f>
        <v>5012.02</v>
      </c>
      <c r="C21" s="28">
        <f t="shared" si="12"/>
        <v>5406.34</v>
      </c>
      <c r="D21" s="28">
        <f t="shared" si="12"/>
        <v>6687.59</v>
      </c>
      <c r="E21" s="115">
        <f t="shared" si="12"/>
        <v>7017.936825</v>
      </c>
      <c r="F21" s="28">
        <f t="shared" si="12"/>
        <v>7400.866946</v>
      </c>
      <c r="G21" s="28">
        <f t="shared" si="12"/>
        <v>7739.642565</v>
      </c>
      <c r="H21" s="28">
        <f t="shared" si="12"/>
        <v>8049.228267</v>
      </c>
      <c r="I21" s="28">
        <f t="shared" si="12"/>
        <v>8330.951009</v>
      </c>
      <c r="J21" s="88">
        <f t="shared" si="12"/>
        <v>8580.879416</v>
      </c>
      <c r="K21" s="18"/>
      <c r="L21" s="18"/>
      <c r="M21" s="18"/>
      <c r="N21" s="18"/>
      <c r="O21" s="18"/>
      <c r="P21" s="18"/>
      <c r="Q21" s="18"/>
      <c r="R21" s="18"/>
      <c r="S21" s="18"/>
    </row>
    <row r="22" ht="15.75" customHeight="1">
      <c r="A22" s="19" t="s">
        <v>78</v>
      </c>
      <c r="B22" s="34">
        <f t="shared" ref="B22:J22" si="13">B21/B5</f>
        <v>0.06251779043</v>
      </c>
      <c r="C22" s="34">
        <f t="shared" si="13"/>
        <v>0.06504251078</v>
      </c>
      <c r="D22" s="34">
        <f t="shared" si="13"/>
        <v>0.07732837668</v>
      </c>
      <c r="E22" s="116">
        <f t="shared" si="13"/>
        <v>0.07732837668</v>
      </c>
      <c r="F22" s="34">
        <f t="shared" si="13"/>
        <v>0.07732837668</v>
      </c>
      <c r="G22" s="34">
        <f t="shared" si="13"/>
        <v>0.07732837668</v>
      </c>
      <c r="H22" s="34">
        <f t="shared" si="13"/>
        <v>0.07732837668</v>
      </c>
      <c r="I22" s="34">
        <f t="shared" si="13"/>
        <v>0.07732837668</v>
      </c>
      <c r="J22" s="90">
        <f t="shared" si="13"/>
        <v>0.07732837668</v>
      </c>
      <c r="K22" s="18"/>
      <c r="L22" s="18"/>
      <c r="M22" s="18"/>
      <c r="N22" s="18"/>
      <c r="O22" s="18"/>
      <c r="P22" s="18"/>
      <c r="Q22" s="18"/>
      <c r="R22" s="18"/>
      <c r="S22" s="18"/>
    </row>
    <row r="23" ht="15.75" customHeight="1">
      <c r="A23" s="71" t="s">
        <v>79</v>
      </c>
      <c r="B23" s="54"/>
      <c r="C23" s="72">
        <f t="shared" ref="C23:J23" si="14">C21-B21</f>
        <v>394.32</v>
      </c>
      <c r="D23" s="72">
        <f t="shared" si="14"/>
        <v>1281.25</v>
      </c>
      <c r="E23" s="117">
        <f t="shared" si="14"/>
        <v>330.3468252</v>
      </c>
      <c r="F23" s="72">
        <f t="shared" si="14"/>
        <v>382.9301213</v>
      </c>
      <c r="G23" s="72">
        <f t="shared" si="14"/>
        <v>338.7756182</v>
      </c>
      <c r="H23" s="72">
        <f t="shared" si="14"/>
        <v>309.5857026</v>
      </c>
      <c r="I23" s="72">
        <f t="shared" si="14"/>
        <v>281.7227419</v>
      </c>
      <c r="J23" s="118">
        <f t="shared" si="14"/>
        <v>249.9284065</v>
      </c>
      <c r="K23" s="18"/>
      <c r="L23" s="18"/>
      <c r="M23" s="18"/>
      <c r="N23" s="18"/>
      <c r="O23" s="18"/>
      <c r="P23" s="18"/>
      <c r="Q23" s="18"/>
      <c r="R23" s="18"/>
      <c r="S23" s="18"/>
    </row>
    <row r="24" ht="15.75" customHeight="1">
      <c r="A24" s="31"/>
      <c r="B24" s="110"/>
      <c r="C24" s="110"/>
      <c r="D24" s="110"/>
      <c r="E24" s="111"/>
      <c r="F24" s="110"/>
      <c r="G24" s="110"/>
      <c r="H24" s="110"/>
      <c r="I24" s="110"/>
      <c r="J24" s="77"/>
      <c r="K24" s="18"/>
      <c r="L24" s="18"/>
      <c r="M24" s="18"/>
      <c r="N24" s="18"/>
      <c r="O24" s="18"/>
      <c r="P24" s="18"/>
      <c r="Q24" s="18"/>
      <c r="R24" s="18"/>
      <c r="S24" s="18"/>
    </row>
    <row r="25" ht="15.75" customHeight="1">
      <c r="A25" s="119" t="s">
        <v>80</v>
      </c>
      <c r="B25" s="35"/>
      <c r="C25" s="35"/>
      <c r="D25" s="35"/>
      <c r="E25" s="112"/>
      <c r="F25" s="35"/>
      <c r="G25" s="35"/>
      <c r="H25" s="35"/>
      <c r="I25" s="35"/>
      <c r="J25" s="36"/>
      <c r="K25" s="18"/>
      <c r="L25" s="18"/>
      <c r="M25" s="18"/>
      <c r="N25" s="18"/>
      <c r="O25" s="18"/>
      <c r="P25" s="18"/>
      <c r="Q25" s="18"/>
      <c r="R25" s="18"/>
      <c r="S25" s="18"/>
    </row>
    <row r="26" ht="15.75" customHeight="1">
      <c r="A26" s="27" t="s">
        <v>67</v>
      </c>
      <c r="B26" s="35"/>
      <c r="C26" s="35"/>
      <c r="D26" s="35"/>
      <c r="E26" s="112"/>
      <c r="F26" s="35"/>
      <c r="G26" s="35"/>
      <c r="H26" s="35"/>
      <c r="I26" s="35"/>
      <c r="J26" s="36"/>
      <c r="K26" s="18"/>
      <c r="L26" s="18"/>
      <c r="M26" s="18"/>
      <c r="N26" s="18"/>
      <c r="O26" s="18"/>
      <c r="P26" s="18"/>
      <c r="Q26" s="18"/>
      <c r="R26" s="18"/>
      <c r="S26" s="18"/>
    </row>
    <row r="27" ht="15.75" customHeight="1">
      <c r="A27" s="19" t="s">
        <v>81</v>
      </c>
      <c r="B27" s="42">
        <f t="shared" ref="B27:D27" si="15">(B10/B5)*365</f>
        <v>29.18442924</v>
      </c>
      <c r="C27" s="42">
        <f t="shared" si="15"/>
        <v>33.85520229</v>
      </c>
      <c r="D27" s="42">
        <f t="shared" si="15"/>
        <v>35.45619023</v>
      </c>
      <c r="E27" s="113">
        <f t="shared" ref="E27:J27" si="16">D27</f>
        <v>35.45619023</v>
      </c>
      <c r="F27" s="42">
        <f t="shared" si="16"/>
        <v>35.45619023</v>
      </c>
      <c r="G27" s="42">
        <f t="shared" si="16"/>
        <v>35.45619023</v>
      </c>
      <c r="H27" s="42">
        <f t="shared" si="16"/>
        <v>35.45619023</v>
      </c>
      <c r="I27" s="42">
        <f t="shared" si="16"/>
        <v>35.45619023</v>
      </c>
      <c r="J27" s="43">
        <f t="shared" si="16"/>
        <v>35.45619023</v>
      </c>
      <c r="K27" s="18"/>
      <c r="L27" s="18"/>
      <c r="M27" s="18"/>
      <c r="N27" s="18"/>
      <c r="O27" s="18"/>
      <c r="P27" s="18"/>
      <c r="Q27" s="18"/>
      <c r="R27" s="18"/>
      <c r="S27" s="18"/>
    </row>
    <row r="28" ht="15.75" customHeight="1">
      <c r="A28" s="19" t="s">
        <v>82</v>
      </c>
      <c r="B28" s="42">
        <f t="shared" ref="B28:D28" si="17">(B11/B6)*365</f>
        <v>63.66247482</v>
      </c>
      <c r="C28" s="42">
        <f t="shared" si="17"/>
        <v>62.92870174</v>
      </c>
      <c r="D28" s="42">
        <f t="shared" si="17"/>
        <v>59.71579419</v>
      </c>
      <c r="E28" s="113">
        <f t="shared" ref="E28:J28" si="18">D28</f>
        <v>59.71579419</v>
      </c>
      <c r="F28" s="42">
        <f t="shared" si="18"/>
        <v>59.71579419</v>
      </c>
      <c r="G28" s="42">
        <f t="shared" si="18"/>
        <v>59.71579419</v>
      </c>
      <c r="H28" s="42">
        <f t="shared" si="18"/>
        <v>59.71579419</v>
      </c>
      <c r="I28" s="42">
        <f t="shared" si="18"/>
        <v>59.71579419</v>
      </c>
      <c r="J28" s="43">
        <f t="shared" si="18"/>
        <v>59.71579419</v>
      </c>
      <c r="K28" s="18"/>
      <c r="L28" s="18"/>
      <c r="M28" s="18"/>
      <c r="N28" s="18"/>
      <c r="O28" s="18"/>
      <c r="P28" s="18"/>
      <c r="Q28" s="18"/>
      <c r="R28" s="18"/>
      <c r="S28" s="18"/>
    </row>
    <row r="29" ht="15.75" customHeight="1">
      <c r="A29" s="19" t="s">
        <v>83</v>
      </c>
      <c r="B29" s="120">
        <f t="shared" ref="B29:D29" si="19">B12/B5</f>
        <v>0.0137168125</v>
      </c>
      <c r="C29" s="120">
        <f t="shared" si="19"/>
        <v>0.01595462469</v>
      </c>
      <c r="D29" s="120">
        <f t="shared" si="19"/>
        <v>0.02030734364</v>
      </c>
      <c r="E29" s="121">
        <f t="shared" ref="E29:J29" si="20">D29</f>
        <v>0.02030734364</v>
      </c>
      <c r="F29" s="120">
        <f t="shared" si="20"/>
        <v>0.02030734364</v>
      </c>
      <c r="G29" s="120">
        <f t="shared" si="20"/>
        <v>0.02030734364</v>
      </c>
      <c r="H29" s="120">
        <f t="shared" si="20"/>
        <v>0.02030734364</v>
      </c>
      <c r="I29" s="120">
        <f t="shared" si="20"/>
        <v>0.02030734364</v>
      </c>
      <c r="J29" s="78">
        <f t="shared" si="20"/>
        <v>0.02030734364</v>
      </c>
      <c r="K29" s="18"/>
      <c r="L29" s="18"/>
      <c r="M29" s="18"/>
      <c r="N29" s="18"/>
      <c r="O29" s="18"/>
      <c r="P29" s="18"/>
      <c r="Q29" s="18"/>
      <c r="R29" s="18"/>
      <c r="S29" s="18"/>
    </row>
    <row r="30" ht="15.75" customHeight="1">
      <c r="A30" s="19"/>
      <c r="B30" s="35"/>
      <c r="C30" s="35"/>
      <c r="D30" s="35"/>
      <c r="E30" s="112"/>
      <c r="F30" s="35"/>
      <c r="G30" s="35"/>
      <c r="H30" s="35"/>
      <c r="I30" s="35"/>
      <c r="J30" s="36"/>
      <c r="K30" s="18"/>
      <c r="L30" s="18"/>
      <c r="M30" s="18"/>
      <c r="N30" s="18"/>
      <c r="O30" s="18"/>
      <c r="P30" s="18"/>
      <c r="Q30" s="18"/>
      <c r="R30" s="18"/>
      <c r="S30" s="18"/>
    </row>
    <row r="31" ht="15.75" customHeight="1">
      <c r="A31" s="27" t="s">
        <v>72</v>
      </c>
      <c r="B31" s="35"/>
      <c r="C31" s="35"/>
      <c r="D31" s="35"/>
      <c r="E31" s="112"/>
      <c r="F31" s="35"/>
      <c r="G31" s="35"/>
      <c r="H31" s="35"/>
      <c r="I31" s="35"/>
      <c r="J31" s="36"/>
      <c r="K31" s="18"/>
      <c r="L31" s="18"/>
      <c r="M31" s="18"/>
      <c r="N31" s="18"/>
      <c r="O31" s="18"/>
      <c r="P31" s="18"/>
      <c r="Q31" s="18"/>
      <c r="R31" s="18"/>
      <c r="S31" s="18"/>
    </row>
    <row r="32" ht="15.75" customHeight="1">
      <c r="A32" s="19" t="s">
        <v>84</v>
      </c>
      <c r="B32" s="42">
        <f t="shared" ref="B32:D32" si="21">(B16/B6)*365</f>
        <v>34.38046543</v>
      </c>
      <c r="C32" s="42">
        <f t="shared" si="21"/>
        <v>44.51091849</v>
      </c>
      <c r="D32" s="42">
        <f t="shared" si="21"/>
        <v>40.89328001</v>
      </c>
      <c r="E32" s="113">
        <f t="shared" ref="E32:J32" si="22">D32</f>
        <v>40.89328001</v>
      </c>
      <c r="F32" s="42">
        <f t="shared" si="22"/>
        <v>40.89328001</v>
      </c>
      <c r="G32" s="42">
        <f t="shared" si="22"/>
        <v>40.89328001</v>
      </c>
      <c r="H32" s="42">
        <f t="shared" si="22"/>
        <v>40.89328001</v>
      </c>
      <c r="I32" s="42">
        <f t="shared" si="22"/>
        <v>40.89328001</v>
      </c>
      <c r="J32" s="43">
        <f t="shared" si="22"/>
        <v>40.89328001</v>
      </c>
      <c r="K32" s="18"/>
      <c r="L32" s="18"/>
      <c r="M32" s="18"/>
      <c r="N32" s="18"/>
      <c r="O32" s="18"/>
      <c r="P32" s="18"/>
      <c r="Q32" s="18"/>
      <c r="R32" s="18"/>
      <c r="S32" s="18"/>
    </row>
    <row r="33" ht="15.75" customHeight="1">
      <c r="A33" s="19" t="s">
        <v>85</v>
      </c>
      <c r="B33" s="120">
        <f t="shared" ref="B33:D33" si="23">B17/B5</f>
        <v>0.01919707619</v>
      </c>
      <c r="C33" s="120">
        <f t="shared" si="23"/>
        <v>0.02498902191</v>
      </c>
      <c r="D33" s="120">
        <f t="shared" si="23"/>
        <v>0.027968965</v>
      </c>
      <c r="E33" s="121">
        <f t="shared" ref="E33:J33" si="24">D33</f>
        <v>0.027968965</v>
      </c>
      <c r="F33" s="120">
        <f t="shared" si="24"/>
        <v>0.027968965</v>
      </c>
      <c r="G33" s="120">
        <f t="shared" si="24"/>
        <v>0.027968965</v>
      </c>
      <c r="H33" s="120">
        <f t="shared" si="24"/>
        <v>0.027968965</v>
      </c>
      <c r="I33" s="120">
        <f t="shared" si="24"/>
        <v>0.027968965</v>
      </c>
      <c r="J33" s="78">
        <f t="shared" si="24"/>
        <v>0.027968965</v>
      </c>
      <c r="K33" s="18"/>
      <c r="L33" s="18"/>
      <c r="M33" s="18"/>
      <c r="N33" s="18"/>
      <c r="O33" s="18"/>
      <c r="P33" s="18"/>
      <c r="Q33" s="18"/>
      <c r="R33" s="18"/>
      <c r="S33" s="18"/>
    </row>
    <row r="34" ht="15.75" customHeight="1">
      <c r="A34" s="52" t="s">
        <v>86</v>
      </c>
      <c r="B34" s="122">
        <f t="shared" ref="B34:D34" si="25">B18/B5</f>
        <v>0.06466524052</v>
      </c>
      <c r="C34" s="122">
        <f t="shared" si="25"/>
        <v>0.05008836611</v>
      </c>
      <c r="D34" s="122">
        <f t="shared" si="25"/>
        <v>0.04484927674</v>
      </c>
      <c r="E34" s="123">
        <f t="shared" ref="E34:J34" si="26">D34</f>
        <v>0.04484927674</v>
      </c>
      <c r="F34" s="122">
        <f t="shared" si="26"/>
        <v>0.04484927674</v>
      </c>
      <c r="G34" s="122">
        <f t="shared" si="26"/>
        <v>0.04484927674</v>
      </c>
      <c r="H34" s="122">
        <f t="shared" si="26"/>
        <v>0.04484927674</v>
      </c>
      <c r="I34" s="122">
        <f t="shared" si="26"/>
        <v>0.04484927674</v>
      </c>
      <c r="J34" s="124">
        <f t="shared" si="26"/>
        <v>0.04484927674</v>
      </c>
      <c r="K34" s="18"/>
      <c r="L34" s="18"/>
      <c r="M34" s="18"/>
      <c r="N34" s="18"/>
      <c r="O34" s="18"/>
      <c r="P34" s="18"/>
      <c r="Q34" s="18"/>
      <c r="R34" s="18"/>
      <c r="S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ht="15.75" customHeight="1">
      <c r="A36" s="125" t="s">
        <v>87</v>
      </c>
      <c r="B36" s="2"/>
      <c r="C36" s="2"/>
      <c r="D36" s="3"/>
      <c r="E36" s="126"/>
      <c r="F36" s="126"/>
      <c r="G36" s="126"/>
      <c r="H36" s="126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</row>
    <row r="37" ht="15.75" customHeight="1">
      <c r="A37" s="9" t="s">
        <v>88</v>
      </c>
      <c r="B37" s="10"/>
      <c r="C37" s="10"/>
      <c r="D37" s="11"/>
      <c r="E37" s="12"/>
      <c r="F37" s="126"/>
      <c r="G37" s="126"/>
      <c r="H37" s="126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</row>
    <row r="38" ht="15.75" customHeight="1">
      <c r="A38" s="73"/>
      <c r="B38" s="127" t="s">
        <v>89</v>
      </c>
      <c r="C38" s="128" t="s">
        <v>90</v>
      </c>
      <c r="D38" s="129" t="s">
        <v>91</v>
      </c>
      <c r="E38" s="98"/>
      <c r="F38" s="126"/>
      <c r="G38" s="126"/>
      <c r="H38" s="126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</row>
    <row r="39" ht="15.75" customHeight="1">
      <c r="A39" s="19" t="s">
        <v>92</v>
      </c>
      <c r="B39" s="102">
        <v>2557.3</v>
      </c>
      <c r="C39" s="102">
        <v>173.9</v>
      </c>
      <c r="D39" s="78">
        <v>0.068</v>
      </c>
      <c r="E39" s="130"/>
      <c r="F39" s="126"/>
      <c r="G39" s="126"/>
      <c r="H39" s="126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</row>
    <row r="40" ht="15.75" customHeight="1">
      <c r="A40" s="31" t="s">
        <v>93</v>
      </c>
      <c r="B40" s="104">
        <v>1638.4</v>
      </c>
      <c r="C40" s="104">
        <v>146.3</v>
      </c>
      <c r="D40" s="131">
        <v>0.0893</v>
      </c>
      <c r="E40" s="130"/>
      <c r="F40" s="126"/>
      <c r="G40" s="126"/>
      <c r="H40" s="126"/>
    </row>
    <row r="41" ht="15.75" customHeight="1">
      <c r="A41" s="80" t="s">
        <v>94</v>
      </c>
      <c r="B41" s="132">
        <v>1040.0</v>
      </c>
      <c r="C41" s="132">
        <v>62.0</v>
      </c>
      <c r="D41" s="133">
        <v>0.0596</v>
      </c>
      <c r="E41" s="130"/>
      <c r="F41" s="126"/>
      <c r="G41" s="126"/>
      <c r="H41" s="126"/>
      <c r="I41" s="96"/>
    </row>
    <row r="42" ht="15.75" customHeight="1">
      <c r="A42" s="80" t="s">
        <v>95</v>
      </c>
      <c r="B42" s="134">
        <f>SUM(B39:B41)</f>
        <v>5235.7</v>
      </c>
      <c r="C42" s="135"/>
      <c r="D42" s="136"/>
      <c r="F42" s="126"/>
      <c r="G42" s="126"/>
      <c r="H42" s="126"/>
      <c r="I42" s="96"/>
    </row>
    <row r="43" ht="15.75" customHeight="1">
      <c r="A43" s="137"/>
      <c r="B43" s="110"/>
      <c r="C43" s="110"/>
      <c r="D43" s="77"/>
      <c r="F43" s="126"/>
      <c r="G43" s="126"/>
      <c r="H43" s="126"/>
    </row>
    <row r="44" ht="15.75" customHeight="1">
      <c r="A44" s="80" t="s">
        <v>96</v>
      </c>
      <c r="B44" s="138">
        <f>((B39/B42)*D39)+((B40/B42)*D40)+((B41/B42)*D41)</f>
        <v>0.07299683328</v>
      </c>
      <c r="C44" s="110"/>
      <c r="D44" s="77"/>
      <c r="F44" s="126"/>
      <c r="G44" s="126"/>
      <c r="H44" s="126"/>
    </row>
    <row r="45" ht="15.75" customHeight="1">
      <c r="A45" s="80" t="s">
        <v>97</v>
      </c>
      <c r="B45" s="139">
        <f>B44*(1-0.25)</f>
        <v>0.05474762496</v>
      </c>
      <c r="C45" s="135"/>
      <c r="D45" s="136"/>
      <c r="F45" s="126"/>
      <c r="G45" s="126"/>
      <c r="H45" s="126"/>
    </row>
    <row r="46" ht="15.75" customHeight="1">
      <c r="F46" s="126"/>
      <c r="G46" s="126"/>
      <c r="H46" s="126"/>
    </row>
    <row r="47" ht="15.75" customHeight="1">
      <c r="A47" s="125" t="s">
        <v>98</v>
      </c>
      <c r="B47" s="2"/>
      <c r="C47" s="2"/>
      <c r="D47" s="3"/>
      <c r="F47" s="126"/>
      <c r="G47" s="126"/>
      <c r="H47" s="126"/>
    </row>
    <row r="48" ht="15.75" customHeight="1">
      <c r="A48" s="140" t="s">
        <v>99</v>
      </c>
      <c r="B48" s="141" t="s">
        <v>100</v>
      </c>
      <c r="C48" s="141" t="s">
        <v>101</v>
      </c>
      <c r="D48" s="129" t="s">
        <v>102</v>
      </c>
      <c r="F48" s="126"/>
      <c r="G48" s="126"/>
      <c r="H48" s="126"/>
    </row>
    <row r="49" ht="15.75" customHeight="1">
      <c r="A49" s="31" t="s">
        <v>103</v>
      </c>
      <c r="B49" s="110">
        <v>0.82</v>
      </c>
      <c r="C49" s="142">
        <v>0.1997</v>
      </c>
      <c r="D49" s="143">
        <f t="shared" ref="D49:D51" si="27">(B49)/(1+C49*(1-0.25))</f>
        <v>0.7131830141</v>
      </c>
      <c r="F49" s="126"/>
      <c r="G49" s="126"/>
      <c r="H49" s="126"/>
    </row>
    <row r="50" ht="15.75" customHeight="1">
      <c r="A50" s="31" t="s">
        <v>104</v>
      </c>
      <c r="B50" s="110">
        <v>0.74</v>
      </c>
      <c r="C50" s="142">
        <v>0.1266</v>
      </c>
      <c r="D50" s="143">
        <f t="shared" si="27"/>
        <v>0.6758299466</v>
      </c>
      <c r="F50" s="126"/>
      <c r="G50" s="126"/>
      <c r="H50" s="126"/>
    </row>
    <row r="51" ht="15.75" customHeight="1">
      <c r="A51" s="31" t="s">
        <v>105</v>
      </c>
      <c r="B51" s="110">
        <v>0.38</v>
      </c>
      <c r="C51" s="142">
        <v>0.3421</v>
      </c>
      <c r="D51" s="143">
        <f t="shared" si="27"/>
        <v>0.3024093269</v>
      </c>
      <c r="F51" s="126"/>
      <c r="G51" s="126"/>
      <c r="H51" s="126"/>
    </row>
    <row r="52" ht="15.75" customHeight="1">
      <c r="A52" s="31"/>
      <c r="B52" s="110"/>
      <c r="C52" s="110"/>
      <c r="D52" s="77"/>
      <c r="F52" s="126"/>
      <c r="G52" s="126"/>
      <c r="H52" s="126"/>
    </row>
    <row r="53" ht="15.75" customHeight="1">
      <c r="A53" s="80" t="s">
        <v>106</v>
      </c>
      <c r="B53" s="144">
        <f>D50</f>
        <v>0.6758299466</v>
      </c>
      <c r="C53" s="110"/>
      <c r="D53" s="77"/>
      <c r="F53" s="126"/>
      <c r="G53" s="126"/>
      <c r="H53" s="126"/>
    </row>
    <row r="54" ht="15.75" customHeight="1">
      <c r="A54" s="31" t="s">
        <v>107</v>
      </c>
      <c r="B54" s="145">
        <f>B53*(1+C49*(1-0.25))</f>
        <v>0.7770523768</v>
      </c>
      <c r="C54" s="110"/>
      <c r="D54" s="77"/>
      <c r="F54" s="126"/>
      <c r="G54" s="126"/>
      <c r="H54" s="126"/>
    </row>
    <row r="55" ht="15.75" customHeight="1">
      <c r="A55" s="31"/>
      <c r="B55" s="110"/>
      <c r="C55" s="110"/>
      <c r="D55" s="77"/>
      <c r="F55" s="126"/>
      <c r="G55" s="126"/>
      <c r="H55" s="126"/>
    </row>
    <row r="56" ht="15.75" customHeight="1">
      <c r="A56" s="31" t="s">
        <v>108</v>
      </c>
      <c r="B56" s="142">
        <v>0.0723</v>
      </c>
      <c r="C56" s="110"/>
      <c r="D56" s="77"/>
      <c r="F56" s="126"/>
      <c r="G56" s="126"/>
      <c r="H56" s="126"/>
    </row>
    <row r="57" ht="15.75" customHeight="1">
      <c r="A57" s="31" t="s">
        <v>109</v>
      </c>
      <c r="B57" s="142">
        <v>0.07</v>
      </c>
      <c r="C57" s="110"/>
      <c r="D57" s="77"/>
    </row>
    <row r="58" ht="15.75" customHeight="1">
      <c r="A58" s="80" t="s">
        <v>110</v>
      </c>
      <c r="B58" s="138">
        <v>0.0</v>
      </c>
      <c r="C58" s="110"/>
      <c r="D58" s="77"/>
    </row>
    <row r="59" ht="15.75" customHeight="1">
      <c r="A59" s="146" t="s">
        <v>111</v>
      </c>
      <c r="B59" s="139">
        <f>B56+(B54*B57)+B58</f>
        <v>0.1266936664</v>
      </c>
      <c r="C59" s="135"/>
      <c r="D59" s="136"/>
    </row>
    <row r="60" ht="15.75" customHeight="1">
      <c r="A60" s="96" t="s">
        <v>112</v>
      </c>
    </row>
    <row r="61" ht="15.75" customHeight="1">
      <c r="A61" s="96" t="s">
        <v>113</v>
      </c>
    </row>
    <row r="62" ht="15.75" customHeight="1">
      <c r="A62" s="96" t="s">
        <v>114</v>
      </c>
    </row>
    <row r="63" ht="15.75" customHeight="1">
      <c r="A63" s="96" t="s">
        <v>115</v>
      </c>
    </row>
    <row r="64" ht="15.75" customHeight="1">
      <c r="A64" s="96" t="s">
        <v>116</v>
      </c>
    </row>
    <row r="65" ht="15.75" customHeight="1">
      <c r="A65" s="96" t="s">
        <v>117</v>
      </c>
    </row>
    <row r="66" ht="15.75" customHeight="1"/>
    <row r="67" ht="15.75" customHeight="1">
      <c r="A67" s="147" t="s">
        <v>118</v>
      </c>
      <c r="B67" s="25"/>
    </row>
    <row r="68" ht="15.75" customHeight="1">
      <c r="A68" s="75" t="s">
        <v>119</v>
      </c>
      <c r="B68" s="148"/>
    </row>
    <row r="69" ht="15.75" customHeight="1">
      <c r="A69" s="31" t="s">
        <v>120</v>
      </c>
      <c r="B69" s="131">
        <v>0.1665</v>
      </c>
    </row>
    <row r="70" ht="15.75" customHeight="1">
      <c r="A70" s="31" t="s">
        <v>121</v>
      </c>
      <c r="B70" s="131">
        <v>0.8335</v>
      </c>
    </row>
    <row r="71" ht="15.75" customHeight="1">
      <c r="A71" s="31"/>
      <c r="B71" s="77"/>
    </row>
    <row r="72" ht="15.75" customHeight="1">
      <c r="A72" s="31" t="s">
        <v>122</v>
      </c>
      <c r="B72" s="131">
        <f>B45</f>
        <v>0.05474762496</v>
      </c>
    </row>
    <row r="73" ht="15.75" customHeight="1">
      <c r="A73" s="31" t="s">
        <v>111</v>
      </c>
      <c r="B73" s="131">
        <f>B59</f>
        <v>0.1266936664</v>
      </c>
    </row>
    <row r="74" ht="15.75" customHeight="1">
      <c r="A74" s="80"/>
      <c r="B74" s="136"/>
    </row>
    <row r="75" ht="15.75" customHeight="1">
      <c r="A75" s="146" t="s">
        <v>14</v>
      </c>
      <c r="B75" s="149">
        <f>(B70*B73)+(B69*B72)</f>
        <v>0.1147146505</v>
      </c>
    </row>
    <row r="76" ht="15.75" customHeight="1">
      <c r="A76" s="96" t="s">
        <v>123</v>
      </c>
    </row>
    <row r="77" ht="15.75" customHeight="1">
      <c r="A77" s="96" t="s">
        <v>124</v>
      </c>
    </row>
    <row r="78" ht="15.75" customHeight="1">
      <c r="A78" s="96" t="s">
        <v>125</v>
      </c>
    </row>
    <row r="79" ht="15.75" customHeight="1">
      <c r="A79" s="96" t="s">
        <v>126</v>
      </c>
    </row>
    <row r="80" ht="15.75" customHeight="1">
      <c r="A80" s="96" t="s">
        <v>127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A1:J1"/>
    <mergeCell ref="A2:J2"/>
    <mergeCell ref="B3:D3"/>
    <mergeCell ref="F3:J3"/>
    <mergeCell ref="A36:D36"/>
    <mergeCell ref="A37:D37"/>
    <mergeCell ref="A47:D47"/>
    <mergeCell ref="A76:B76"/>
    <mergeCell ref="A77:B77"/>
    <mergeCell ref="A78:B78"/>
    <mergeCell ref="A79:B79"/>
    <mergeCell ref="A80:B80"/>
    <mergeCell ref="A60:D60"/>
    <mergeCell ref="A61:D61"/>
    <mergeCell ref="A62:D62"/>
    <mergeCell ref="A63:D63"/>
    <mergeCell ref="A64:D64"/>
    <mergeCell ref="A65:D65"/>
    <mergeCell ref="A67:B67"/>
  </mergeCells>
  <drawing r:id="rId1"/>
</worksheet>
</file>