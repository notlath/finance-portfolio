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chmarking &amp; Valuation" sheetId="1" r:id="rId5"/>
    <sheet state="visible" name="Transaction #1" sheetId="2" r:id="rId6"/>
    <sheet state="visible" name="Transaction #2" sheetId="3" r:id="rId7"/>
    <sheet state="visible" name="Transaction #3" sheetId="4" r:id="rId8"/>
  </sheets>
  <definedNames/>
  <calcPr/>
</workbook>
</file>

<file path=xl/sharedStrings.xml><?xml version="1.0" encoding="utf-8"?>
<sst xmlns="http://schemas.openxmlformats.org/spreadsheetml/2006/main" count="738" uniqueCount="403">
  <si>
    <t>Benchmarking</t>
  </si>
  <si>
    <t>Food &amp; Beverage Sector</t>
  </si>
  <si>
    <t>Acquisition of Munchy Food Industries by Universal Robina Corp.</t>
  </si>
  <si>
    <t>Acquisition of Pacific Meat Company, Inc. by Century Pacific Food, Inc.</t>
  </si>
  <si>
    <t>Enterprise Value /</t>
  </si>
  <si>
    <t>Transaction #1</t>
  </si>
  <si>
    <t>Acquisition of Ligo by Century Pacific Food, Inc.</t>
  </si>
  <si>
    <t>Transaction #2</t>
  </si>
  <si>
    <t>Date Announced</t>
  </si>
  <si>
    <t>Acquirer</t>
  </si>
  <si>
    <t>Target</t>
  </si>
  <si>
    <t>Transaction Type</t>
  </si>
  <si>
    <t>Purchase Consideration</t>
  </si>
  <si>
    <t>General Information</t>
  </si>
  <si>
    <t>Equity Value</t>
  </si>
  <si>
    <t>Enterprise Value</t>
  </si>
  <si>
    <t>Transaction #3</t>
  </si>
  <si>
    <t>LTM Sales</t>
  </si>
  <si>
    <t>LTM EBITDA</t>
  </si>
  <si>
    <t>LTM EBIT</t>
  </si>
  <si>
    <t>LTM EBITDA Margin</t>
  </si>
  <si>
    <t>Reported Income Statement</t>
  </si>
  <si>
    <t>Universal Robina Corp.</t>
  </si>
  <si>
    <t>Target Description</t>
  </si>
  <si>
    <t>Adjusted Income Statement</t>
  </si>
  <si>
    <t>Munchy Food Industries</t>
  </si>
  <si>
    <t>Public Acquirer / Private Target</t>
  </si>
  <si>
    <t>Cash</t>
  </si>
  <si>
    <t>₱22,899.55</t>
  </si>
  <si>
    <t>Munchy Food Industries Sdn. Bhd.</t>
  </si>
  <si>
    <t>Pacific Meat Company, Inc.</t>
  </si>
  <si>
    <t>Ligo (Operational Assets &amp; Intellectual Property)</t>
  </si>
  <si>
    <t>(₱ in millions, except per share data)</t>
  </si>
  <si>
    <t>Century Pacific Food, Inc.</t>
  </si>
  <si>
    <t>(₱ in millions, except per share data, using the closing exchange rate of 1 RM = ₱11.90.)</t>
  </si>
  <si>
    <t>₱649.92</t>
  </si>
  <si>
    <t>Engages in the development, manufacture, and distribution of refrigerated, processed, and</t>
  </si>
  <si>
    <t>Ligo</t>
  </si>
  <si>
    <t>Public Acquirer / Private Asset Carve-out</t>
  </si>
  <si>
    <t>N / A</t>
  </si>
  <si>
    <t>₱1,719.66</t>
  </si>
  <si>
    <t xml:space="preserve">  Domicile / Status</t>
  </si>
  <si>
    <t>Philippines / Private</t>
  </si>
  <si>
    <t>Mean</t>
  </si>
  <si>
    <t>Engages in the manufacture, distribution, and marketing of packaged biscuits,</t>
  </si>
  <si>
    <r>
      <rPr>
        <rFont val="Arial"/>
        <b/>
        <color theme="1"/>
      </rPr>
      <t xml:space="preserve">LTM (2020A) </t>
    </r>
    <r>
      <rPr>
        <rFont val="Arial"/>
        <b val="0"/>
        <i/>
        <color theme="1"/>
      </rPr>
      <t>(1)</t>
    </r>
  </si>
  <si>
    <t xml:space="preserve">  Holding Vehicle</t>
  </si>
  <si>
    <t>Crunchy Foods Sdn. Bhd.</t>
  </si>
  <si>
    <t>2020A</t>
  </si>
  <si>
    <t>LTM (2020A)</t>
  </si>
  <si>
    <t>Engages in the manufacture, distribution, and marketing of shelf-stable canned
sardine and marine products (including sardines in tomato sauce, chili, Spanish-style,</t>
  </si>
  <si>
    <t>Prior Stub (Q1-Q3 2020)</t>
  </si>
  <si>
    <t>frozen meat products (such as hotdogs, bacon, hams, and sausages) under recognized brands</t>
  </si>
  <si>
    <t>Current Stub (Q1-Q3 2021)</t>
  </si>
  <si>
    <t xml:space="preserve">  Ticker</t>
  </si>
  <si>
    <r>
      <rPr>
        <rFont val="Arial"/>
        <b/>
        <color theme="1"/>
      </rPr>
      <t xml:space="preserve">LTM (Ending Q3 2021) </t>
    </r>
    <r>
      <rPr>
        <rFont val="Arial"/>
        <b val="0"/>
        <i/>
        <color theme="1"/>
      </rPr>
      <t>(1)</t>
    </r>
  </si>
  <si>
    <t>Sales</t>
  </si>
  <si>
    <t xml:space="preserve">  Corporate Seller / Entity</t>
  </si>
  <si>
    <t>confectionery, and related snack food products across key segments (including
cream crackers, sandwich biscuits, wafers, and cookies) with nationwide distribution</t>
  </si>
  <si>
    <t>A. Tung Chingco Manufacturing Corp. (ATCMC Group)</t>
  </si>
  <si>
    <t>Malaysia / Private</t>
  </si>
  <si>
    <t>Reported Gross Profit</t>
  </si>
  <si>
    <t>Median</t>
  </si>
  <si>
    <r>
      <rPr>
        <rFont val="Arial"/>
        <b/>
        <color theme="1"/>
      </rPr>
      <t xml:space="preserve">LTM (Ending Q3 2021) </t>
    </r>
    <r>
      <rPr>
        <rFont val="Arial"/>
        <b val="0"/>
        <i/>
        <color theme="1"/>
      </rPr>
      <t>(1)</t>
    </r>
  </si>
  <si>
    <t>and mackerel) under the heritage "Ligo" brand, holding leading market positions
acrossregional Philippine markets with production infrastructure anchored in</t>
  </si>
  <si>
    <t>including Swift, operating dedicated production facilities in Biñan, Laguna supported by an</t>
  </si>
  <si>
    <t>in Malaysia and export reach into more than 50 international markets.</t>
  </si>
  <si>
    <t>High</t>
  </si>
  <si>
    <r>
      <rPr>
        <rFont val="Arial"/>
        <b/>
        <color theme="1"/>
      </rPr>
      <t xml:space="preserve">  </t>
    </r>
    <r>
      <rPr>
        <rFont val="Arial"/>
        <b val="0"/>
        <color theme="1"/>
      </rPr>
      <t>Fiscal Year End</t>
    </r>
  </si>
  <si>
    <t>COGS (incl. D&amp;A)</t>
  </si>
  <si>
    <t>Low</t>
  </si>
  <si>
    <t>Non-recurring Items in COGS</t>
  </si>
  <si>
    <t>-</t>
  </si>
  <si>
    <t>established nationwide cold-chain distribution network.</t>
  </si>
  <si>
    <t>Zamboanga.</t>
  </si>
  <si>
    <t xml:space="preserve">  Marginal Tax Rate</t>
  </si>
  <si>
    <r>
      <rPr>
        <rFont val="Arial"/>
        <b/>
        <color theme="1"/>
      </rPr>
      <t xml:space="preserve">  </t>
    </r>
    <r>
      <rPr>
        <rFont val="Arial"/>
        <b val="0"/>
        <color theme="1"/>
      </rPr>
      <t>Fiscal Year End</t>
    </r>
  </si>
  <si>
    <t>Gross Profit</t>
  </si>
  <si>
    <t>Implied Valuation Range</t>
  </si>
  <si>
    <t>Monde Nissin Corporation (MONDE)</t>
  </si>
  <si>
    <t>Adjusted Gross Profit</t>
  </si>
  <si>
    <t>Acquirer Description</t>
  </si>
  <si>
    <t>(₱ in millions, LTM 6/30/2026)</t>
  </si>
  <si>
    <r>
      <rPr>
        <rFont val="Arial"/>
        <b/>
        <color theme="1"/>
      </rPr>
      <t xml:space="preserve">  </t>
    </r>
    <r>
      <rPr>
        <rFont val="Arial"/>
        <b val="0"/>
        <color theme="1"/>
      </rPr>
      <t>Fiscal Year End</t>
    </r>
  </si>
  <si>
    <t>SG&amp;A</t>
  </si>
  <si>
    <t>EBITDA</t>
  </si>
  <si>
    <t>Metric</t>
  </si>
  <si>
    <t>Multiple Range</t>
  </si>
  <si>
    <t>% margin</t>
  </si>
  <si>
    <t>Implied Enterprise Value</t>
  </si>
  <si>
    <t>Manufactures and markets branded consumer foods (salty snacks, chocolates,</t>
  </si>
  <si>
    <t>Other (Income) / Expense</t>
  </si>
  <si>
    <t>LTM</t>
  </si>
  <si>
    <t>candies, biscuits, bakery products, beverages, instant noodles), operates</t>
  </si>
  <si>
    <t>8.5x - 9.5x</t>
  </si>
  <si>
    <t>₱137,257.15 - ₱153,405.05</t>
  </si>
  <si>
    <t>Universal Robina Corporation</t>
  </si>
  <si>
    <t>EBIT</t>
  </si>
  <si>
    <t>Engages in the manufacture, marketing, and distribution of processed marine (Century Tuna, 555,</t>
  </si>
  <si>
    <t>CNPF (PSE)</t>
  </si>
  <si>
    <t>agro-industrial farms and animal nutrition facilities, and produces commodity food</t>
  </si>
  <si>
    <t>Engages in the manufacture, marketing, and distribution of processed marine</t>
  </si>
  <si>
    <t xml:space="preserve">  Acquiring Vehicle</t>
  </si>
  <si>
    <t>URC Snack Foods (Malaysia) Sdn. Bhd.</t>
  </si>
  <si>
    <t>Reported EBIT</t>
  </si>
  <si>
    <t>Interest Expense (Net)</t>
  </si>
  <si>
    <t>Blue Bay), canned meat (Argentina, Wow), dairy and mixes (Birch Tree, Angel), plant-based</t>
  </si>
  <si>
    <t>(Century Tuna, 555, Blue Bay), canned and refrigerated meat (Argentina, Swift), dairy</t>
  </si>
  <si>
    <t xml:space="preserve">  Fiscal Year End</t>
  </si>
  <si>
    <t>products including sugar and flour milling.</t>
  </si>
  <si>
    <t>alternatives (unMEAT), and OEM export products (canned tuna and coconut) across the</t>
  </si>
  <si>
    <t>URC (PSE)</t>
  </si>
  <si>
    <t>Pre-tax Income</t>
  </si>
  <si>
    <t>and mixes (Birch Tree, Angel), plant-based alternatives (unMEAT), and OEM export</t>
  </si>
  <si>
    <r>
      <rPr>
        <rFont val="Arial"/>
        <color theme="1"/>
      </rPr>
      <t xml:space="preserve">Related Party Shared Service Normalization </t>
    </r>
    <r>
      <rPr>
        <rFont val="Arial"/>
        <i/>
        <color theme="1"/>
      </rPr>
      <t>(1)</t>
    </r>
  </si>
  <si>
    <t>Philippines and international markets.</t>
  </si>
  <si>
    <r>
      <rPr>
        <rFont val="Arial"/>
        <color theme="1"/>
      </rPr>
      <t xml:space="preserve">Interest Expense (Net) </t>
    </r>
    <r>
      <rPr>
        <rFont val="Arial"/>
        <i/>
        <color theme="1"/>
      </rPr>
      <t>(2)</t>
    </r>
  </si>
  <si>
    <t>products (canned tuna and coconut) across the Philippines and international markets.</t>
  </si>
  <si>
    <r>
      <rPr>
        <rFont val="Arial"/>
        <color theme="1"/>
      </rPr>
      <t xml:space="preserve">Income Taxes </t>
    </r>
    <r>
      <rPr>
        <rFont val="Arial"/>
        <i/>
        <color theme="1"/>
      </rPr>
      <t>(2)</t>
    </r>
  </si>
  <si>
    <r>
      <rPr>
        <rFont val="Arial"/>
        <color theme="1"/>
      </rPr>
      <t xml:space="preserve">Income Taxes </t>
    </r>
    <r>
      <rPr>
        <rFont val="Arial"/>
        <i/>
        <color theme="1"/>
      </rPr>
      <t>(2)</t>
    </r>
  </si>
  <si>
    <r>
      <rPr>
        <rFont val="Arial"/>
        <color theme="1"/>
      </rPr>
      <t xml:space="preserve">COVID-19 Cold-Chain Logistics Disruption </t>
    </r>
    <r>
      <rPr>
        <rFont val="Arial"/>
        <i/>
        <color theme="1"/>
      </rPr>
      <t>(2)</t>
    </r>
  </si>
  <si>
    <t>Closing / Effective Date</t>
  </si>
  <si>
    <t>Comments</t>
  </si>
  <si>
    <t>Non-controlling Interest</t>
  </si>
  <si>
    <t>Adjusted EBIT</t>
  </si>
  <si>
    <r>
      <rPr>
        <rFont val="Arial"/>
        <color theme="1"/>
      </rPr>
      <t xml:space="preserve">Income Taxes </t>
    </r>
    <r>
      <rPr>
        <rFont val="Arial"/>
        <i/>
        <color theme="1"/>
      </rPr>
      <t>(3)</t>
    </r>
  </si>
  <si>
    <t>The transaction establishes URC as the market leader in the Malaysian biscuit</t>
  </si>
  <si>
    <t>Preferred Dividends</t>
  </si>
  <si>
    <t>The transaction represents an accretive, strategic bolt-on acquisition in CNPF’s core</t>
  </si>
  <si>
    <t>segment, adding scale, automated manufacturing hubs in Batu Pahat, and</t>
  </si>
  <si>
    <t>Net Income</t>
  </si>
  <si>
    <t>shelf-stable marine business, consolidating category leadership in canned sardines</t>
  </si>
  <si>
    <t>The transaction marks CNPF’s strategic entry into the fast-growing refrigerated food category,</t>
  </si>
  <si>
    <t>Deal Dynamics</t>
  </si>
  <si>
    <t>Strategic Acquisition / Related Party Transaction (from parent CPGI)</t>
  </si>
  <si>
    <t>complementary retail distribution networks across Southeast Asia. The combined</t>
  </si>
  <si>
    <t>Effective Tax Rate</t>
  </si>
  <si>
    <t>providing an immediate operating platform with dedicated processing facilities, temperature-
controlled distribution, and a pipeline of refrigerated better-for-you products. Structured as a 100%</t>
  </si>
  <si>
    <t>alongside 555 and Lucky 7. Structured as an asset and intellectual property purchase</t>
  </si>
  <si>
    <t>100% Cash</t>
  </si>
  <si>
    <t>Strategic Bolt-on / Asset Acquisition</t>
  </si>
  <si>
    <t>under PFRS 3 for an aggregate consideration of ₱1,719.66 million, the deal transfers</t>
  </si>
  <si>
    <t>business will unlock cross-selling and supply-chain synergies by integrating Munchy’s</t>
  </si>
  <si>
    <t>Depreciation and Amortization (D&amp;A)</t>
  </si>
  <si>
    <t xml:space="preserve">cash intercompany acquisition from parent company Century Pacific Group, Inc. (CPGI) for </t>
  </si>
  <si>
    <t>Strategic Buyout from Sponsor (CVC Capital Partners)</t>
  </si>
  <si>
    <t>Adjusted EBITDA</t>
  </si>
  <si>
    <t>product lines with URC's existing domestic Malaysian operations (URC Snack Foods
Malaysia). The acquisition was executed on a cash-free and debt-free basis for an</t>
  </si>
  <si>
    <t>trademarks, proprietary formulations, and manufacturing assets directly to CNPF,</t>
  </si>
  <si>
    <r>
      <rPr>
        <rFont val="Arial"/>
        <color theme="1"/>
      </rPr>
      <t xml:space="preserve">Fully Diluted Shares Outstanding </t>
    </r>
    <r>
      <rPr>
        <rFont val="Arial"/>
        <i/>
        <color theme="1"/>
      </rPr>
      <t>(3)</t>
    </r>
  </si>
  <si>
    <r>
      <rPr>
        <rFont val="Arial"/>
        <color theme="1"/>
      </rPr>
      <t xml:space="preserve">Fully Diluted Shares Outstanding </t>
    </r>
    <r>
      <rPr>
        <rFont val="Arial"/>
        <i/>
        <color theme="1"/>
      </rPr>
      <t>(4)</t>
    </r>
  </si>
  <si>
    <t>aggregate consideration of RM 1.925 billion (~₱22.9 billion), funded entirely with</t>
  </si>
  <si>
    <t>₱650.0 million (plus ₱275.0 million for operational inventory), the deal was executed at a discount</t>
  </si>
  <si>
    <t>funded entirely with internal cash flows. The combination unlocks substantial scale</t>
  </si>
  <si>
    <t>Diluted EPS</t>
  </si>
  <si>
    <t>Calculation of Equity and Enterprise Value</t>
  </si>
  <si>
    <r>
      <rPr>
        <rFont val="Arial"/>
        <color theme="1"/>
      </rPr>
      <t xml:space="preserve">Fully Diluted Shares Outstanding </t>
    </r>
    <r>
      <rPr>
        <rFont val="Arial"/>
        <i/>
        <color theme="1"/>
      </rPr>
      <t>(3)</t>
    </r>
  </si>
  <si>
    <t>advantages across raw fish procurement, integrated tin-can fabrication, and shared</t>
  </si>
  <si>
    <t>to 2020 sales and below book value, generating immediate margin and earnings accretion while</t>
  </si>
  <si>
    <t>Notes:</t>
  </si>
  <si>
    <t>retail distribution networks nationwide.</t>
  </si>
  <si>
    <t>balance-sheet cash.</t>
  </si>
  <si>
    <r>
      <rPr>
        <rFont val="Arial"/>
        <color theme="1"/>
      </rPr>
      <t xml:space="preserve">Cash Offer Price per Share </t>
    </r>
    <r>
      <rPr>
        <rFont val="Arial"/>
        <i/>
        <color theme="1"/>
      </rPr>
      <t>(1)</t>
    </r>
  </si>
  <si>
    <t>(1) Synthetic stubs apply 74% and 75% quarterly delivery factors to mirror historical Western Mindanao closed-fishing and sardine canning</t>
  </si>
  <si>
    <t>Stock Offer Price per Share</t>
  </si>
  <si>
    <t>seasonality.</t>
  </si>
  <si>
    <t>eliminating redundant shared-service overhead.</t>
  </si>
  <si>
    <t xml:space="preserve">  Exchange Ratio</t>
  </si>
  <si>
    <t>(2) Under an asset and intellectual property carve-out, no funded corporate debt or corporate-level interest-bearing liabilities are transferred;</t>
  </si>
  <si>
    <t>(1) In accordance with PFRS 3 (Business Combinations), Note 15 of URC's 2021 Form 17-A discloses that had the Crunchy Foods Sdn. Bhd.</t>
  </si>
  <si>
    <t xml:space="preserve">  Acquirer Share Price</t>
  </si>
  <si>
    <t>hence net interest expense is zero.</t>
  </si>
  <si>
    <r>
      <rPr>
        <rFont val="Arial"/>
        <color theme="1"/>
      </rPr>
      <t xml:space="preserve">Cash Offer Price per Share </t>
    </r>
    <r>
      <rPr>
        <rFont val="Arial"/>
        <i/>
        <color theme="1"/>
      </rPr>
      <t>(1)</t>
    </r>
  </si>
  <si>
    <r>
      <rPr>
        <rFont val="Arial"/>
        <color theme="1"/>
      </rPr>
      <t xml:space="preserve">Cash Offer Price per Share </t>
    </r>
    <r>
      <rPr>
        <rFont val="Arial"/>
        <i/>
        <color theme="1"/>
      </rPr>
      <t>(1)</t>
    </r>
  </si>
  <si>
    <t>Offer Price per Share</t>
  </si>
  <si>
    <t>acquisition taken place on January 1, 2021, consolidated continuing net sales and net income would have been ₱121.9 billion and</t>
  </si>
  <si>
    <t>Reported Net Income</t>
  </si>
  <si>
    <t>₱13.3 billion, respectively. Target LTM sales and net income reflect the pro forma contribution of Crunchy Foods backed out against URC’s</t>
  </si>
  <si>
    <t>(3) Taxed at the prevailing 30.0% statutory rate for FY2020 and 25.0% for 2021 following the enactment of the CREATE Act (RA 11534).</t>
  </si>
  <si>
    <t>standalone results (₱116.955B sales and ₱12.965B net income).</t>
  </si>
  <si>
    <t>(4) N/A because the transaction was an acquisition of a group of operational assets and trademarks under PFRS 3 rather than a purchase of</t>
  </si>
  <si>
    <t>(2) Income taxes are computed based on the Malaysian corporate statutory income tax rate of 24.0%.</t>
  </si>
  <si>
    <t>(1) As the acquisition was approved on March 24, 2021, and</t>
  </si>
  <si>
    <r>
      <rPr>
        <rFont val="Arial"/>
        <color theme="1"/>
      </rPr>
      <t xml:space="preserve">Fully Diluted Shares Outstanding (in millions) </t>
    </r>
    <r>
      <rPr>
        <rFont val="Arial"/>
        <i/>
        <color theme="1"/>
      </rPr>
      <t>(1)</t>
    </r>
  </si>
  <si>
    <t>corporate shares.</t>
  </si>
  <si>
    <t>Source Documents</t>
  </si>
  <si>
    <r>
      <rPr>
        <rFont val="Arial"/>
        <b/>
        <color theme="1"/>
      </rPr>
      <t>Implied Equity Value</t>
    </r>
    <r>
      <rPr>
        <rFont val="Arial"/>
        <b val="0"/>
        <color theme="1"/>
      </rPr>
      <t xml:space="preserve"> </t>
    </r>
    <r>
      <rPr>
        <rFont val="Arial"/>
        <b val="0"/>
        <i/>
        <color theme="1"/>
      </rPr>
      <t>(1)</t>
    </r>
  </si>
  <si>
    <t>(3) Represents 684.964 million total ordinary shares acquired post-conversion of all 683,964 preference shares into ordinary shares on a</t>
  </si>
  <si>
    <t>1:1,000 basis pursuant to closing conditions precedent disclosed in URC's SEC Form 17-C.</t>
  </si>
  <si>
    <t>completed on April 1, 2021, the relevant pre-deal LTM benchmark
is FY2020 (as Q1 2021 financial statements were not yet filed or</t>
  </si>
  <si>
    <t>Other Non-recurring Items (EBIT Add-backs)</t>
  </si>
  <si>
    <t>Period</t>
  </si>
  <si>
    <r>
      <rPr>
        <rFont val="Arial"/>
        <color theme="1"/>
      </rPr>
      <t xml:space="preserve">Fully Diluted Shares Outstanding (in millions) </t>
    </r>
    <r>
      <rPr>
        <rFont val="Arial"/>
        <i/>
        <color theme="1"/>
      </rPr>
      <t>(2)</t>
    </r>
  </si>
  <si>
    <t>Date Filed</t>
  </si>
  <si>
    <r>
      <rPr>
        <rFont val="Arial"/>
        <color theme="1"/>
      </rPr>
      <t xml:space="preserve">Plus: Total Debt </t>
    </r>
    <r>
      <rPr>
        <rFont val="Arial"/>
        <i/>
        <color theme="1"/>
      </rPr>
      <t>(2)</t>
    </r>
  </si>
  <si>
    <t>Implied Equity Value</t>
  </si>
  <si>
    <t>publicly available).</t>
  </si>
  <si>
    <t>Non-operating Non-recurring Items</t>
  </si>
  <si>
    <t>CNPF Form 17-C</t>
  </si>
  <si>
    <t>3/24/2021</t>
  </si>
  <si>
    <t>Plus: Preferred Stock</t>
  </si>
  <si>
    <t>(2) Income taxes for FY2020 are computed based on the</t>
  </si>
  <si>
    <t>LTM (Ending Q3 2021)</t>
  </si>
  <si>
    <r>
      <rPr>
        <rFont val="Arial"/>
        <color theme="1"/>
      </rPr>
      <t xml:space="preserve">Tax Adjustment </t>
    </r>
    <r>
      <rPr>
        <rFont val="Arial"/>
        <i/>
        <color theme="1"/>
      </rPr>
      <t>(3)</t>
    </r>
  </si>
  <si>
    <t>Plus: Non-controlling Interest</t>
  </si>
  <si>
    <t>CNPF Form 17-A</t>
  </si>
  <si>
    <t>12/31/2020</t>
  </si>
  <si>
    <t>4/15/2021</t>
  </si>
  <si>
    <t>prevailing 30.0% regular corporate income tax (RCIT) rate in the</t>
  </si>
  <si>
    <t>Adjusted Net Income</t>
  </si>
  <si>
    <r>
      <rPr>
        <rFont val="Arial"/>
        <color theme="1"/>
      </rPr>
      <t xml:space="preserve">Plus: Total Debt </t>
    </r>
    <r>
      <rPr>
        <rFont val="Arial"/>
        <i/>
        <color theme="1"/>
      </rPr>
      <t>(3)</t>
    </r>
  </si>
  <si>
    <t>12/31/2021</t>
  </si>
  <si>
    <r>
      <rPr>
        <rFont val="Arial"/>
        <color theme="1"/>
      </rPr>
      <t xml:space="preserve">Plus: Preferred Stock </t>
    </r>
    <r>
      <rPr>
        <rFont val="Arial"/>
        <i/>
        <color theme="1"/>
      </rPr>
      <t>(4)</t>
    </r>
  </si>
  <si>
    <r>
      <rPr>
        <rFont val="Arial"/>
        <color theme="1"/>
      </rPr>
      <t xml:space="preserve">Less: Cash and Cash Equivalents </t>
    </r>
    <r>
      <rPr>
        <rFont val="Arial"/>
        <i/>
        <color theme="1"/>
      </rPr>
      <t>(2)</t>
    </r>
  </si>
  <si>
    <r>
      <rPr>
        <rFont val="Arial"/>
        <color theme="1"/>
      </rPr>
      <t xml:space="preserve">Fully Diluted Shares Outstanding (in millions) </t>
    </r>
    <r>
      <rPr>
        <rFont val="Arial"/>
        <i/>
        <color theme="1"/>
      </rPr>
      <t>(2)</t>
    </r>
  </si>
  <si>
    <t>Philippines prior to the retroactive effect of the CREATE Act
enacted late March 2021.</t>
  </si>
  <si>
    <r>
      <rPr>
        <rFont val="Arial"/>
        <b/>
        <color theme="1"/>
      </rPr>
      <t xml:space="preserve">Implied Enterprise Value </t>
    </r>
    <r>
      <rPr>
        <rFont val="Arial"/>
        <b val="0"/>
        <i/>
        <color theme="1"/>
      </rPr>
      <t>(3)</t>
    </r>
  </si>
  <si>
    <t>CNPF Form 20-IS</t>
  </si>
  <si>
    <r>
      <rPr>
        <rFont val="Arial"/>
        <color theme="1"/>
      </rPr>
      <t xml:space="preserve">Less: Cash and Cash Equivalents </t>
    </r>
    <r>
      <rPr>
        <rFont val="Arial"/>
        <i/>
        <color theme="1"/>
      </rPr>
      <t>(3)</t>
    </r>
  </si>
  <si>
    <t>5/20/2021</t>
  </si>
  <si>
    <r>
      <rPr>
        <rFont val="Arial"/>
        <b/>
        <color theme="1"/>
      </rPr>
      <t xml:space="preserve">Implied Enterprise Value </t>
    </r>
    <r>
      <rPr>
        <rFont val="Arial"/>
        <b val="0"/>
        <i/>
        <color theme="1"/>
      </rPr>
      <t>(3)</t>
    </r>
  </si>
  <si>
    <t>(3) Reflects PMCI's 24.000 million total issued and outstanding</t>
  </si>
  <si>
    <t>(1) Offer price per share and Implied Equity Value are Not Applicable (N/A) because the</t>
  </si>
  <si>
    <t>transaction was executed as an asset and intellectual property carve-out rather than a stock</t>
  </si>
  <si>
    <t>common shares acquired by CNPF from parent company Century</t>
  </si>
  <si>
    <t>Adjusted Diluted EPS</t>
  </si>
  <si>
    <t>purchase of a corporate legal entity. CNPF did not purchase shares in A. Tung Chingco</t>
  </si>
  <si>
    <t>(1) In PSE Disclosure Form 5-1 (Section: Terms and conditions of the transaction), the</t>
  </si>
  <si>
    <t>Manufacturing Corporation (ATCMC); consequently, there is no share count, per-share offer
price, or equity market value.</t>
  </si>
  <si>
    <r>
      <rPr>
        <rFont val="Arial"/>
        <color theme="1"/>
      </rPr>
      <t xml:space="preserve">Plus: Total Debt </t>
    </r>
    <r>
      <rPr>
        <rFont val="Arial"/>
        <i/>
        <color theme="1"/>
      </rPr>
      <t>(3)</t>
    </r>
  </si>
  <si>
    <r>
      <rPr>
        <rFont val="Arial"/>
        <color theme="1"/>
      </rPr>
      <t xml:space="preserve">Unallocated Owner/Family Management Costs </t>
    </r>
    <r>
      <rPr>
        <rFont val="Arial"/>
        <i/>
        <color theme="1"/>
      </rPr>
      <t>(1)</t>
    </r>
  </si>
  <si>
    <t>Pacific Group, Inc. (CPGI).</t>
  </si>
  <si>
    <t>offer price is stated as approximately RM 2.81 per share, which translates to ₱33.43 per</t>
  </si>
  <si>
    <t>share at the transaction announcement exchange rate (~₱11.90 / RM).</t>
  </si>
  <si>
    <r>
      <rPr>
        <rFont val="Arial"/>
        <color theme="1"/>
      </rPr>
      <t xml:space="preserve">Transaction / M&amp;A Advisory Fees </t>
    </r>
    <r>
      <rPr>
        <rFont val="Arial"/>
        <i/>
        <color theme="1"/>
      </rPr>
      <t>(1)</t>
    </r>
  </si>
  <si>
    <t>(2) In an asset acquisition structure, no standalone corporate cash is acquired and no
corporate debt is assumed. All legacy liabilities remained with the seller, ATCMC Group.</t>
  </si>
  <si>
    <t>(2) Represents 684.964 million total ordinary shares acquired, calculated as the original</t>
  </si>
  <si>
    <r>
      <rPr>
        <rFont val="Arial"/>
        <color theme="1"/>
      </rPr>
      <t xml:space="preserve">Zamboanga Cannery COVID-19 Disruption </t>
    </r>
    <r>
      <rPr>
        <rFont val="Arial"/>
        <i/>
        <color theme="1"/>
      </rPr>
      <t>(2)</t>
    </r>
  </si>
  <si>
    <t>(1) Normalizes administrative shared-service allocations and management</t>
  </si>
  <si>
    <r>
      <rPr>
        <rFont val="Arial"/>
        <color theme="1"/>
      </rPr>
      <t xml:space="preserve">Non-recurring Plant &amp; COVID Restructuring </t>
    </r>
    <r>
      <rPr>
        <rFont val="Arial"/>
        <i/>
        <color theme="1"/>
      </rPr>
      <t>(2)</t>
    </r>
  </si>
  <si>
    <t>Cash Flow Statement Data</t>
  </si>
  <si>
    <t>fees paid under parent holding company CPGI arrangements prior to</t>
  </si>
  <si>
    <r>
      <rPr>
        <rFont val="Arial"/>
        <color theme="1"/>
      </rPr>
      <t xml:space="preserve">Less: Cash and Cash Equivalents </t>
    </r>
    <r>
      <rPr>
        <rFont val="Arial"/>
        <i/>
        <color theme="1"/>
      </rPr>
      <t>(3)</t>
    </r>
  </si>
  <si>
    <t>(3) Sourced directly from CNPF’s Audited FY2022 Consolidated Statement of Cash Flows</t>
  </si>
  <si>
    <t>1,000,000 ordinary shares plus 683,964 preference shares converted into ordinary shares</t>
  </si>
  <si>
    <t>(₱ in millions)</t>
  </si>
  <si>
    <t>PMCI's direct integration into CNPF's operating infrastructure.</t>
  </si>
  <si>
    <r>
      <rPr>
        <rFont val="Arial"/>
        <b/>
        <color theme="1"/>
      </rPr>
      <t xml:space="preserve">Implied Enterprise Value </t>
    </r>
    <r>
      <rPr>
        <rFont val="Arial"/>
        <b val="0"/>
        <i/>
        <color theme="1"/>
      </rPr>
      <t>(3)</t>
    </r>
  </si>
  <si>
    <t>(2) Pre-tax add-back for non-recurring COVID-19 cold chain transportation</t>
  </si>
  <si>
    <t>(Investing Activities, Note 11), which explicitly discloses the net cash outflow for the</t>
  </si>
  <si>
    <t>at a 1:1,000 ratio prior to closing.</t>
  </si>
  <si>
    <t>surcharges, refrigerated distribution route disruptions, and pandemic</t>
  </si>
  <si>
    <t>"Acquisition of Intangible Assets" of ₱1,719.66 million paid to acquire the Ligo trademark,</t>
  </si>
  <si>
    <t>(3) The transaction was contracted explicitly on a "cash-free and debt-free basis" for an</t>
  </si>
  <si>
    <t>(1) Offer price per share of ₱27.08 is derived by dividing the agreed cash consideration</t>
  </si>
  <si>
    <t>% sales</t>
  </si>
  <si>
    <t>formulas, and manufacturing IP. Under investment banking convention for carve-out asset</t>
  </si>
  <si>
    <t>aggregate consideration of RM 1.925 billion (~₱22.9 billion). In M&amp;A convention, acquiring</t>
  </si>
  <si>
    <t>sanitation protocols incurred during the 2020 enhanced community</t>
  </si>
  <si>
    <t>of ₱650.00 million by PMCI's 24.000 million total issued and outstanding common</t>
  </si>
  <si>
    <r>
      <rPr>
        <rFont val="Arial"/>
        <color rgb="FF000000"/>
      </rPr>
      <t xml:space="preserve">Capital Expenditures </t>
    </r>
    <r>
      <rPr>
        <rFont val="Arial"/>
        <i/>
        <color rgb="FF000000"/>
      </rPr>
      <t>(1)</t>
    </r>
  </si>
  <si>
    <t>quarantines in Luzon.</t>
  </si>
  <si>
    <t>shares acquired by CNPF.</t>
  </si>
  <si>
    <t>transactions, Implied Enterprise Value equals the total purchase consideration directly</t>
  </si>
  <si>
    <t>a business cash-free and debt-free means the headline enterprise value (transaction value)</t>
  </si>
  <si>
    <t>(3) Reflects the tax effect of non-recurring add-backs using PMCI's 30.0%</t>
  </si>
  <si>
    <t>(2) PMCI is an unlisted domestic corporation with 24.000 million common shares issued</t>
  </si>
  <si>
    <t>Note:</t>
  </si>
  <si>
    <t>corporate income tax rate: Tax Adjustment = -(Pre-tax Non-recurring</t>
  </si>
  <si>
    <t>(₱1,719.66 million). This consideration also satisfies the disclosure condition in SEC Form</t>
  </si>
  <si>
    <t>and outstanding, 100% of which were acquired from parent company Century Pacific</t>
  </si>
  <si>
    <t>is set directly at the negotiated headline consideration (₱22,900.0M), with pre-deal debt</t>
  </si>
  <si>
    <t>(1) Represents baseline maintenance and equipment upkeep</t>
  </si>
  <si>
    <t>Adjustments × Marginal Tax Rate) = -(₱15.0 million × 30.0%) = -₱4.50M</t>
  </si>
  <si>
    <t>Group, Inc. (CPGI). As a private entity, there were no dilutive options, warrants, or</t>
  </si>
  <si>
    <t>CapEx required to sustain refrigerated operations and cold chain</t>
  </si>
  <si>
    <t>convertible securities.</t>
  </si>
  <si>
    <t>standards at ~3.5% of sales, consistent with mature meat</t>
  </si>
  <si>
    <t>17-C stating the purchase price was "less than 5% of total assets of the company as of</t>
  </si>
  <si>
    <t>paid off and existing operational cash retained or swept by the seller prior to closing.</t>
  </si>
  <si>
    <t>(3) As disclosed in CNPF’s SEC Form 17-C (Advisement Report on Material Related</t>
  </si>
  <si>
    <t>manufacturing benchmarks and pre-deal operational run-rates.</t>
  </si>
  <si>
    <t>December 31, 2021" (5% × ₱40.88B = ₱2.04B).</t>
  </si>
  <si>
    <t>(4) The target’s 683,964 preference shares carried an aggregate par value of RM 683.964</t>
  </si>
  <si>
    <t>Party Transactions), the headline transaction consideration for 100% of PMCI is ₱650.0</t>
  </si>
  <si>
    <t>million (with CNPF separately purchasing ₱275.0 million worth of operational inventory).</t>
  </si>
  <si>
    <t>Under private M&amp;A convention, the agreed transaction value was structured on a</t>
  </si>
  <si>
    <t>million, but under Condition Precedent #1 of the Share Purchase Agreement, 100% of</t>
  </si>
  <si>
    <t>cash-free and debt-free basis (excluding existing net debt and cash swept by the parent</t>
  </si>
  <si>
    <t>LTM Transaction Multiples</t>
  </si>
  <si>
    <t>these preference shares were mandatorily converted into ordinary shares prior to
completion, resulting in zero preferred equity at the acquisition date.</t>
  </si>
  <si>
    <t>prior to carve-in), setting baseline Implied Enterprise Value directly at the negotiated</t>
  </si>
  <si>
    <t>consideration of ₱650.00 million.</t>
  </si>
  <si>
    <r>
      <rPr>
        <rFont val="Arial"/>
        <b/>
        <color theme="1"/>
      </rPr>
      <t xml:space="preserve">EV / Sales </t>
    </r>
    <r>
      <rPr>
        <rFont val="Arial"/>
        <b val="0"/>
        <i/>
        <color theme="1"/>
      </rPr>
      <t>(1)</t>
    </r>
  </si>
  <si>
    <r>
      <rPr>
        <rFont val="Arial"/>
        <color rgb="FF000000"/>
      </rPr>
      <t xml:space="preserve">Tax Adjustment </t>
    </r>
    <r>
      <rPr>
        <rFont val="Arial"/>
        <i/>
        <color rgb="FF000000"/>
      </rPr>
      <t>(3)</t>
    </r>
  </si>
  <si>
    <r>
      <rPr>
        <rFont val="Arial"/>
        <b/>
        <color theme="1"/>
      </rPr>
      <t xml:space="preserve">EV / Sales </t>
    </r>
    <r>
      <rPr>
        <rFont val="Arial"/>
        <b val="0"/>
        <i/>
        <color theme="1"/>
      </rPr>
      <t>(1)</t>
    </r>
  </si>
  <si>
    <r>
      <rPr>
        <rFont val="Arial"/>
        <color rgb="FF000000"/>
      </rPr>
      <t xml:space="preserve">Tax Adjustment </t>
    </r>
    <r>
      <rPr>
        <rFont val="Arial"/>
        <i/>
        <color rgb="FF000000"/>
      </rPr>
      <t>(3)</t>
    </r>
  </si>
  <si>
    <t xml:space="preserve">  Metric</t>
  </si>
  <si>
    <r>
      <rPr>
        <rFont val="Arial"/>
        <b/>
        <color theme="1"/>
      </rPr>
      <t xml:space="preserve">EV / EBITDA </t>
    </r>
    <r>
      <rPr>
        <rFont val="Arial"/>
        <b val="0"/>
        <i/>
        <color theme="1"/>
      </rPr>
      <t>(2)</t>
    </r>
  </si>
  <si>
    <r>
      <rPr>
        <rFont val="Arial"/>
        <b/>
        <color theme="1"/>
      </rPr>
      <t xml:space="preserve">EV / EBITDA </t>
    </r>
    <r>
      <rPr>
        <rFont val="Arial"/>
        <b val="0"/>
        <i/>
        <color theme="1"/>
      </rPr>
      <t>(2)</t>
    </r>
  </si>
  <si>
    <r>
      <rPr>
        <rFont val="Arial"/>
        <b/>
        <color theme="1"/>
      </rPr>
      <t xml:space="preserve">EV / Sales </t>
    </r>
    <r>
      <rPr>
        <rFont val="Arial"/>
        <b val="0"/>
        <i/>
        <color theme="1"/>
      </rPr>
      <t>(1)</t>
    </r>
  </si>
  <si>
    <r>
      <rPr>
        <rFont val="Arial"/>
        <b/>
        <color theme="1"/>
      </rPr>
      <t xml:space="preserve">EV / EBIT </t>
    </r>
    <r>
      <rPr>
        <rFont val="Arial"/>
        <b val="0"/>
        <i/>
        <color theme="1"/>
      </rPr>
      <t>(3)</t>
    </r>
  </si>
  <si>
    <r>
      <rPr>
        <rFont val="Arial"/>
        <b/>
        <color theme="1"/>
      </rPr>
      <t xml:space="preserve">P / E </t>
    </r>
    <r>
      <rPr>
        <rFont val="Arial"/>
        <b val="0"/>
        <i/>
        <color theme="1"/>
      </rPr>
      <t>(4)</t>
    </r>
  </si>
  <si>
    <r>
      <rPr>
        <rFont val="Arial"/>
        <b/>
        <color theme="1"/>
      </rPr>
      <t xml:space="preserve">EV / EBIT </t>
    </r>
    <r>
      <rPr>
        <rFont val="Arial"/>
        <b val="0"/>
        <i/>
        <color theme="1"/>
      </rPr>
      <t>(3)</t>
    </r>
  </si>
  <si>
    <r>
      <rPr>
        <rFont val="Arial"/>
        <b/>
        <color theme="1"/>
      </rPr>
      <t xml:space="preserve">EV / EBITDA </t>
    </r>
    <r>
      <rPr>
        <rFont val="Arial"/>
        <b val="0"/>
        <i/>
        <color theme="1"/>
      </rPr>
      <t>(2)</t>
    </r>
  </si>
  <si>
    <t>(1) The 0.7x EV/Sales multiple sits significantly below the 1.5x–2.5x benchmark observed</t>
  </si>
  <si>
    <t>in typical FMCG acquisitions, reflecting the favorable terms disclosed in CNPF’s SEC</t>
  </si>
  <si>
    <t>Form 17-C. Structured as an internal carve-in from ultimate parent Century Pacific Group,</t>
  </si>
  <si>
    <t>Inc. (CPGI), the transaction was priced at a discount to 2020 sales and below book value</t>
  </si>
  <si>
    <t>to ensure immediate top-line expansion without diluting returns for public minority</t>
  </si>
  <si>
    <r>
      <rPr>
        <rFont val="Arial"/>
        <b/>
        <color theme="1"/>
      </rPr>
      <t xml:space="preserve">P / E </t>
    </r>
    <r>
      <rPr>
        <rFont val="Arial"/>
        <b val="0"/>
        <i/>
        <color theme="1"/>
      </rPr>
      <t>(4)</t>
    </r>
  </si>
  <si>
    <t>shareholders.</t>
  </si>
  <si>
    <t>(1) Normalizes unallocated owner compensation, private holding management charges, and non-operational advisory fees from the Tung family</t>
  </si>
  <si>
    <t>(2) The synergy-adjusted multiple of 4.3x reflects Implied Enterprise Value of ₱650.00</t>
  </si>
  <si>
    <t>million divided by pro forma EBITDA of ₱150.00 million (incorporating ₱40.00 million in</t>
  </si>
  <si>
    <t>estimated annual run-rate synergies atop base Adjusted EBITDA of ₱110.00 million).</t>
  </si>
  <si>
    <t>(3) The 9.3x multiple on Adjusted EBIT of ₱70.00 million reflects an operating margin</t>
  </si>
  <si>
    <t>entity that do not transfer over to CNPF.</t>
  </si>
  <si>
    <t>(~7.0%) normalized for pandemic-era Luzon transportation constraints and intercompany</t>
  </si>
  <si>
    <t>(2) Pre-tax add-back for COVID-19 pandemic-induced canning line downtime, port transit delays in Zamboanga, and health protocol</t>
  </si>
  <si>
    <r>
      <rPr>
        <rFont val="Arial"/>
        <b/>
        <color theme="1"/>
      </rPr>
      <t xml:space="preserve">EV / EBIT </t>
    </r>
    <r>
      <rPr>
        <rFont val="Arial"/>
        <b val="0"/>
        <i/>
        <color theme="1"/>
      </rPr>
      <t>(3)</t>
    </r>
  </si>
  <si>
    <t>shared charges. Because PMCI operates capital-intensive meat-processing lines and</t>
  </si>
  <si>
    <t>(1) The 1.1x EV / Sales multiple reflects an attractive entry valuation for an established</t>
  </si>
  <si>
    <t>compliance costs in 2020 and 9M 2021.</t>
  </si>
  <si>
    <t>heritage FMCG brand with over 60 years of market presence and dominant regional market</t>
  </si>
  <si>
    <t>temperature-controlled logistics infrastructure, annual depreciation represents ~4.0% of</t>
  </si>
  <si>
    <t>(3) Tax effect of non-recurring add-backs computed using the applicable statutory income tax rates (30% for 2020A and 25% for 2021 stubs)</t>
  </si>
  <si>
    <t>shares in shelf-stable sardines. Consistent with carve-out dynamics where corporate</t>
  </si>
  <si>
    <t>(1) Normalizes one-off professional, legal, and financial advisory expenses incurred in connection with the bilateral auction and share purchase</t>
  </si>
  <si>
    <t>revenues, making cash-flow generation (EV/EBITDA) the primary valuation driver.</t>
  </si>
  <si>
    <t>overhead and real estate are excluded, the purchase was priced below the 1.5x–2.5x typical</t>
  </si>
  <si>
    <t>(4) The 15.5x Adjusted P/E multiple provides immediate bottom-line accretion against</t>
  </si>
  <si>
    <t>CNPF’s historical trading range of 18.0x–22.0x P/E. Because the acquisition was an</t>
  </si>
  <si>
    <t>execution from CVC Capital Partners (Crunchy Limited).</t>
  </si>
  <si>
    <t>benchmark for branded consumer staples.</t>
  </si>
  <si>
    <t>all-cash intercompany restructuring from CPGI rather than a competitive third-party</t>
  </si>
  <si>
    <r>
      <rPr>
        <rFont val="Arial"/>
        <b/>
        <color theme="1"/>
      </rPr>
      <t xml:space="preserve">P / E </t>
    </r>
    <r>
      <rPr>
        <rFont val="Arial"/>
        <b val="0"/>
        <i/>
        <color theme="1"/>
      </rPr>
      <t>(4)</t>
    </r>
  </si>
  <si>
    <t>auction, CNPF was not required to pay a public control premium, securing a fully operating</t>
  </si>
  <si>
    <t>(2) The synergy-adjusted multiple of 5.7x reflects Implied Enterprise Value of ₱1,719.66</t>
  </si>
  <si>
    <t>business at an attractive valuation.</t>
  </si>
  <si>
    <t>(2) Pre-tax add-back for non-recurring COVID-19 pandemic facility downtime, Movement Control Order (MCO) plant compliance adjustments,</t>
  </si>
  <si>
    <t>million divided by pro forma EBITDA of ₱300.00 million (incorporating ₱50.00 million in</t>
  </si>
  <si>
    <t>and temporary packaging supply-chain freight surcharges in Malaysia.</t>
  </si>
  <si>
    <t>(3) Reflects the tax-effected impact of non-recurring add-backs using Crunchy Foods’ marginal corporate tax rate:</t>
  </si>
  <si>
    <t>estimated annual run-rate synergies atop base Adjusted EBITDA of ₱250.00 million). As</t>
  </si>
  <si>
    <t>(1) The elevated 4.6x multiple exceeds the standard 1.5x–2.5x benchmark for mature</t>
  </si>
  <si>
    <t>Tax Adjustment = -(Pre-tax Non-recurring Adjustments × Marginal Tax Rate) = -(₱80.0 million × 24.0%) = -₱19.2 million</t>
  </si>
  <si>
    <t>ASEAN food businesses, reflecting a significant scarcity premium and control buyout</t>
  </si>
  <si>
    <t>value. Munchy is the undisputed category leader in Malaysia, holding an approximate</t>
  </si>
  <si>
    <t>21.5% value share in Peninsular Malaysia with established distribution across 50 countries
and automated manufacturing hubs in Batu Pahat, prompting URC to bid aggressively</t>
  </si>
  <si>
    <t>(₱ in millions, using the closing exchange rate of 1 RM = ₱11.90.)</t>
  </si>
  <si>
    <t>noted in CNPF’s announcement, significant synergies are unlocked by consolidating raw</t>
  </si>
  <si>
    <t>above regional revenue averages to secure an irreplaceable regional platform.</t>
  </si>
  <si>
    <r>
      <rPr>
        <rFont val="Arial"/>
        <color rgb="FF000000"/>
      </rPr>
      <t xml:space="preserve">Capital Expenditures </t>
    </r>
    <r>
      <rPr>
        <rFont val="Arial"/>
        <i/>
        <color rgb="FF000000"/>
      </rPr>
      <t>(1)</t>
    </r>
  </si>
  <si>
    <t>(2) The adjusted multiple reflects post-COVID normalized run-rate EBITDA plus annual</t>
  </si>
  <si>
    <t>fish purchasing, optimizing tin can manufacturing via CNPF's packaging subsidiary</t>
  </si>
  <si>
    <t>recurring cost and distribution synergies: EV / (Adjusted LTM EBITDA + Expected</t>
  </si>
  <si>
    <t>(CPFPVI), and leveraging CNPF’s nationwide distribution reach to expand Ligo's retail</t>
  </si>
  <si>
    <t>Run-rate Synergies &amp; Normalization) = ₱22,899.55 / (₱887.90 + ₱404). The resulting</t>
  </si>
  <si>
    <r>
      <rPr>
        <rFont val="Arial"/>
        <color rgb="FF000000"/>
      </rPr>
      <t xml:space="preserve">Capital Expenditures </t>
    </r>
    <r>
      <rPr>
        <rFont val="Arial"/>
        <i/>
        <color rgb="FF000000"/>
      </rPr>
      <t>(1)</t>
    </r>
  </si>
  <si>
    <t>penetration.</t>
  </si>
  <si>
    <t>(1) Modeled at a normalized maintenance CapEx level of 2.5% of net sales, reflecting routine machinery upkeep, can-seamer overhauls, and</t>
  </si>
  <si>
    <t>(3) The 8.5x EV / Adjusted EBIT multiple demonstrates strong operating profitability (~12.9%</t>
  </si>
  <si>
    <t>plant maintenance required to sustain production runs without capacity expansion. In an asset carve-out structure, ongoing maintenance capital</t>
  </si>
  <si>
    <t>normalized EBIT margin). Operating profit is normalized for unallocated private owner</t>
  </si>
  <si>
    <t>expenditure is dedicated strictly to sustaining the transferred manufacturing asset base.</t>
  </si>
  <si>
    <t>17.7x multiple aligns with regional consumer packaged goods M&amp;A transaction
benchmarks.</t>
  </si>
  <si>
    <t>expenses and COVID-related supply-chain disruptions in Zamboanga. Because canning</t>
  </si>
  <si>
    <t>platforms require ongoing maintenance of seaming machines, cookers, and retort lines,</t>
  </si>
  <si>
    <t>operating cash flow (EV/EBITDA) serves as the primary valuation benchmark.</t>
  </si>
  <si>
    <t>(3) The 34.0x multiple reflects pandemic-suppressed denominator earnings rather than</t>
  </si>
  <si>
    <t>structural overpayment. Target operating margins (~13.6%) were heavily compressed by</t>
  </si>
  <si>
    <t>(4) The P / E multiple is Not Applicable (N/A) because the transaction was structured as an</t>
  </si>
  <si>
    <t>(1) In PSE Disclosure Form 5-1 (Section: Discussion of major projects and investments), URC explicitly states: "No expected capex investment</t>
  </si>
  <si>
    <t>Malaysian Movement Control Orders, facility downtime, and freight inflation, while EBIT</t>
  </si>
  <si>
    <t>to be made yet until recoveries from COVID can be assessed." Consequently, CapEx is modeled at a baseline maintenance level of ~2.5% of</t>
  </si>
  <si>
    <t>12/24/2021</t>
  </si>
  <si>
    <t>was further burdened by non-cash historical depreciation on heavy production equipment.</t>
  </si>
  <si>
    <t>sales, reflecting recurring maintenance and routine factory upkeep rather than aggressive capacity expansion.</t>
  </si>
  <si>
    <t>asset and intellectual property carve-out under PFRS 3 rather than an acquisition of</t>
  </si>
  <si>
    <t>Because strategic buyers evaluate capital-intensive manufacturing platforms on operating</t>
  </si>
  <si>
    <t>4/29/2022</t>
  </si>
  <si>
    <t>corporate equity.</t>
  </si>
  <si>
    <t>CNPF Form 17-Q</t>
  </si>
  <si>
    <t>9/30/2021</t>
  </si>
  <si>
    <t>cash generation rather than backward-looking accounting depreciation, EV/EBITDA serves</t>
  </si>
  <si>
    <t>12/31/2022</t>
  </si>
  <si>
    <t>4/14/2023</t>
  </si>
  <si>
    <t xml:space="preserve"> -</t>
  </si>
  <si>
    <t>5/23/2023</t>
  </si>
  <si>
    <t>as the primary metric.</t>
  </si>
  <si>
    <t>(4) The 51.6x multiple is an optical outlier driven by evaluating a previously leveraged</t>
  </si>
  <si>
    <t>URC Form 17-C</t>
  </si>
  <si>
    <t>11/25/2021</t>
  </si>
  <si>
    <t>private target's net income through an all-cash, debt-free transaction lens. Under private</t>
  </si>
  <si>
    <t>URC Form 17-Q</t>
  </si>
  <si>
    <t>10/28/2021</t>
  </si>
  <si>
    <t>equity ownership (CVC Capital Partners), the target carried legacy holding-level financing</t>
  </si>
  <si>
    <t>URC Form 17-A</t>
  </si>
  <si>
    <t>3/29/2022</t>
  </si>
  <si>
    <t>costs that artificially deflated bottom-line earnings relative to its operational strength.</t>
  </si>
  <si>
    <t>URC Form 20-IS</t>
  </si>
  <si>
    <t>4/13/2022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</si>
</sst>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m d, yyyy"/>
    <numFmt numFmtId="165" formatCode="0.0x"/>
    <numFmt numFmtId="166" formatCode="0.0%"/>
    <numFmt numFmtId="167" formatCode="[$₱]#,##0.00"/>
    <numFmt numFmtId="168" formatCode="mmm-d"/>
    <numFmt numFmtId="169" formatCode="#,##0.00;(#,##0.00)"/>
    <numFmt numFmtId="170" formatCode="d/m/yyyy"/>
    <numFmt numFmtId="171" formatCode="dd/mm/yyyy"/>
  </numFmts>
  <fonts count="27">
    <font>
      <sz val="10.0"/>
      <color rgb="FF000000"/>
      <name val="Arial"/>
      <scheme val="minor"/>
    </font>
    <font>
      <b/>
      <sz val="20.0"/>
      <color rgb="FFFFFFFF"/>
      <name val="Arial"/>
    </font>
    <font/>
    <font>
      <sz val="14.0"/>
      <color rgb="FFFFFFFF"/>
      <name val="Arial"/>
    </font>
    <font>
      <sz val="13.0"/>
      <color rgb="FFFFFFFF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b/>
      <color rgb="FFFFFFFF"/>
      <name val="Arial"/>
    </font>
    <font>
      <b/>
      <sz val="9.0"/>
      <color theme="1"/>
      <name val="Arial"/>
    </font>
    <font>
      <b/>
      <color theme="1"/>
      <name val="Arial"/>
    </font>
    <font>
      <color theme="1"/>
      <name val="Arial"/>
    </font>
    <font>
      <i/>
      <sz val="9.0"/>
      <color rgb="FFFFFFFF"/>
      <name val="Arial"/>
    </font>
    <font>
      <i/>
      <color rgb="FFFFFFFF"/>
      <name val="Arial"/>
    </font>
    <font>
      <color rgb="FF000000"/>
      <name val="Arial"/>
    </font>
    <font>
      <b/>
      <sz val="11.0"/>
      <color theme="1"/>
      <name val="Arial"/>
    </font>
    <font>
      <i/>
      <sz val="14.0"/>
      <color rgb="FFFFFFFF"/>
      <name val="Arial"/>
    </font>
    <font>
      <b/>
      <sz val="14.0"/>
      <color theme="1"/>
      <name val="Arial"/>
    </font>
    <font>
      <i/>
      <color theme="1"/>
      <name val="Arial"/>
    </font>
    <font>
      <sz val="14.0"/>
      <color theme="1"/>
      <name val="Arial"/>
    </font>
    <font>
      <sz val="11.0"/>
      <color theme="1"/>
      <name val="Arial"/>
    </font>
    <font>
      <sz val="9.0"/>
      <color theme="1"/>
      <name val="Arial"/>
    </font>
    <font>
      <sz val="9.0"/>
      <color rgb="FF000000"/>
      <name val="Arial"/>
    </font>
    <font>
      <i/>
      <color rgb="FF000000"/>
      <name val="Arial"/>
    </font>
    <font>
      <b/>
      <color rgb="FF000000"/>
      <name val="Arial"/>
    </font>
    <font>
      <sz val="10.0"/>
      <color rgb="FF000000"/>
      <name val="Arial"/>
    </font>
    <font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CC0000"/>
        <bgColor rgb="FFCC0000"/>
      </patternFill>
    </fill>
    <fill>
      <patternFill patternType="solid">
        <fgColor rgb="FFF3F3F3"/>
        <bgColor rgb="FFF3F3F3"/>
      </patternFill>
    </fill>
    <fill>
      <patternFill patternType="solid">
        <fgColor rgb="FF037488"/>
        <bgColor rgb="FF037488"/>
      </patternFill>
    </fill>
    <fill>
      <patternFill patternType="solid">
        <fgColor rgb="FF0C343D"/>
        <bgColor rgb="FF0C343D"/>
      </patternFill>
    </fill>
    <fill>
      <patternFill patternType="solid">
        <fgColor rgb="FF168834"/>
        <bgColor rgb="FF168834"/>
      </patternFill>
    </fill>
    <fill>
      <patternFill patternType="solid">
        <fgColor rgb="FFD9EAD3"/>
        <bgColor rgb="FFD9EAD3"/>
      </patternFill>
    </fill>
    <fill>
      <patternFill patternType="solid">
        <fgColor rgb="FFC5E2B8"/>
        <bgColor rgb="FFC5E2B8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3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4" fillId="2" fontId="3" numFmtId="0" xfId="0" applyBorder="1" applyFill="1" applyFont="1"/>
    <xf borderId="5" fillId="0" fontId="2" numFmtId="0" xfId="0" applyBorder="1" applyFont="1"/>
    <xf borderId="6" fillId="0" fontId="2" numFmtId="0" xfId="0" applyBorder="1" applyFont="1"/>
    <xf borderId="0" fillId="0" fontId="4" numFmtId="0" xfId="0" applyFont="1"/>
    <xf borderId="1" fillId="4" fontId="5" numFmtId="0" xfId="0" applyBorder="1" applyFill="1" applyFont="1"/>
    <xf borderId="1" fillId="3" fontId="1" numFmtId="0" xfId="0" applyBorder="1" applyFill="1" applyFont="1"/>
    <xf borderId="2" fillId="4" fontId="5" numFmtId="0" xfId="0" applyBorder="1" applyFill="1" applyFont="1"/>
    <xf borderId="1" fillId="5" fontId="1" numFmtId="0" xfId="0" applyBorder="1" applyFill="1" applyFont="1"/>
    <xf borderId="2" fillId="4" fontId="6" numFmtId="0" xfId="0" applyAlignment="1" applyBorder="1" applyFill="1" applyFont="1">
      <alignment horizontal="center"/>
    </xf>
    <xf borderId="2" fillId="6" fontId="6" numFmtId="0" xfId="0" applyAlignment="1" applyBorder="1" applyFill="1" applyFont="1">
      <alignment horizontal="center"/>
    </xf>
    <xf borderId="3" fillId="4" fontId="6" numFmtId="0" xfId="0" applyAlignment="1" applyBorder="1" applyFill="1" applyFont="1">
      <alignment horizontal="center"/>
    </xf>
    <xf borderId="0" fillId="0" fontId="6" numFmtId="0" xfId="0" applyAlignment="1" applyFont="1">
      <alignment horizontal="center"/>
    </xf>
    <xf borderId="0" fillId="0" fontId="5" numFmtId="0" xfId="0" applyFont="1"/>
    <xf borderId="4" fillId="3" fontId="4" numFmtId="0" xfId="0" applyBorder="1" applyFill="1" applyFont="1"/>
    <xf borderId="4" fillId="5" fontId="4" numFmtId="0" xfId="0" applyBorder="1" applyFill="1" applyFont="1"/>
    <xf borderId="4" fillId="4" fontId="7" numFmtId="0" xfId="0" applyAlignment="1" applyBorder="1" applyFill="1" applyFont="1">
      <alignment horizontal="center" shrinkToFit="0" wrapText="1"/>
    </xf>
    <xf borderId="1" fillId="7" fontId="1" numFmtId="0" xfId="0" applyBorder="1" applyFill="1" applyFont="1"/>
    <xf borderId="5" fillId="4" fontId="7" numFmtId="0" xfId="0" applyAlignment="1" applyBorder="1" applyFill="1" applyFont="1">
      <alignment horizontal="center" shrinkToFit="0" wrapText="1"/>
    </xf>
    <xf borderId="7" fillId="5" fontId="8" numFmtId="0" xfId="0" applyBorder="1" applyFill="1" applyFont="1"/>
    <xf borderId="5" fillId="8" fontId="7" numFmtId="0" xfId="0" applyAlignment="1" applyBorder="1" applyFill="1" applyFont="1">
      <alignment horizontal="center" shrinkToFit="0" wrapText="1"/>
    </xf>
    <xf borderId="7" fillId="3" fontId="8" numFmtId="0" xfId="0" applyBorder="1" applyFill="1" applyFont="1"/>
    <xf borderId="4" fillId="7" fontId="4" numFmtId="0" xfId="0" applyBorder="1" applyFill="1" applyFont="1"/>
    <xf borderId="8" fillId="0" fontId="2" numFmtId="0" xfId="0" applyBorder="1" applyFont="1"/>
    <xf borderId="6" fillId="4" fontId="7" numFmtId="0" xfId="0" applyAlignment="1" applyBorder="1" applyFill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9" numFmtId="0" xfId="0" applyAlignment="1" applyFont="1">
      <alignment horizontal="center" shrinkToFit="0" wrapText="1"/>
    </xf>
    <xf borderId="1" fillId="3" fontId="8" numFmtId="0" xfId="0" applyBorder="1" applyFill="1" applyFont="1"/>
    <xf borderId="1" fillId="5" fontId="8" numFmtId="0" xfId="0" applyBorder="1" applyFill="1" applyFont="1"/>
    <xf borderId="9" fillId="4" fontId="5" numFmtId="164" xfId="0" applyAlignment="1" applyBorder="1" applyFill="1" applyFont="1" applyNumberFormat="1">
      <alignment horizontal="center"/>
    </xf>
    <xf borderId="0" fillId="0" fontId="8" numFmtId="0" xfId="0" applyFont="1"/>
    <xf borderId="0" fillId="4" fontId="5" numFmtId="0" xfId="0" applyAlignment="1" applyFill="1" applyFont="1">
      <alignment horizontal="center"/>
    </xf>
    <xf borderId="7" fillId="7" fontId="8" numFmtId="0" xfId="0" applyBorder="1" applyFill="1" applyFont="1"/>
    <xf borderId="10" fillId="0" fontId="2" numFmtId="0" xfId="0" applyBorder="1" applyFont="1"/>
    <xf borderId="1" fillId="7" fontId="8" numFmtId="0" xfId="0" applyBorder="1" applyFill="1" applyFont="1"/>
    <xf borderId="0" fillId="8" fontId="5" numFmtId="165" xfId="0" applyAlignment="1" applyFill="1" applyFont="1" applyNumberFormat="1">
      <alignment horizontal="center"/>
    </xf>
    <xf borderId="11" fillId="4" fontId="5" numFmtId="166" xfId="0" applyAlignment="1" applyBorder="1" applyFill="1" applyFont="1" applyNumberFormat="1">
      <alignment horizontal="center"/>
    </xf>
    <xf borderId="1" fillId="4" fontId="10" numFmtId="0" xfId="0" applyBorder="1" applyFill="1" applyFont="1"/>
    <xf borderId="0" fillId="0" fontId="5" numFmtId="165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3" fillId="4" fontId="10" numFmtId="0" xfId="0" applyAlignment="1" applyBorder="1" applyFill="1" applyFont="1">
      <alignment horizontal="right" shrinkToFit="0" wrapText="1"/>
    </xf>
    <xf borderId="0" fillId="0" fontId="11" numFmtId="0" xfId="0" applyAlignment="1" applyFont="1">
      <alignment horizontal="center"/>
    </xf>
    <xf borderId="0" fillId="4" fontId="5" numFmtId="167" xfId="0" applyAlignment="1" applyFill="1" applyFont="1" applyNumberFormat="1">
      <alignment horizontal="center"/>
    </xf>
    <xf borderId="4" fillId="5" fontId="12" numFmtId="0" xfId="0" applyAlignment="1" applyBorder="1" applyFill="1" applyFont="1">
      <alignment shrinkToFit="0" wrapText="1"/>
    </xf>
    <xf borderId="4" fillId="7" fontId="13" numFmtId="0" xfId="0" applyBorder="1" applyFill="1" applyFont="1"/>
    <xf borderId="0" fillId="0" fontId="12" numFmtId="0" xfId="0" applyFont="1"/>
    <xf borderId="0" fillId="0" fontId="5" numFmtId="166" xfId="0" applyAlignment="1" applyFont="1" applyNumberFormat="1">
      <alignment horizontal="center"/>
    </xf>
    <xf borderId="0" fillId="0" fontId="11" numFmtId="166" xfId="0" applyAlignment="1" applyFont="1" applyNumberFormat="1">
      <alignment horizontal="center"/>
    </xf>
    <xf borderId="0" fillId="0" fontId="13" numFmtId="0" xfId="0" applyFont="1"/>
    <xf borderId="4" fillId="4" fontId="5" numFmtId="164" xfId="0" applyAlignment="1" applyBorder="1" applyFill="1" applyFont="1" applyNumberFormat="1">
      <alignment horizontal="center"/>
    </xf>
    <xf borderId="1" fillId="4" fontId="14" numFmtId="0" xfId="0" applyBorder="1" applyFill="1" applyFont="1"/>
    <xf borderId="5" fillId="4" fontId="5" numFmtId="0" xfId="0" applyAlignment="1" applyBorder="1" applyFill="1" applyFont="1">
      <alignment horizontal="center"/>
    </xf>
    <xf borderId="5" fillId="8" fontId="5" numFmtId="165" xfId="0" applyAlignment="1" applyBorder="1" applyFill="1" applyFont="1" applyNumberFormat="1">
      <alignment horizontal="center"/>
    </xf>
    <xf borderId="6" fillId="4" fontId="5" numFmtId="166" xfId="0" applyAlignment="1" applyBorder="1" applyFill="1" applyFont="1" applyNumberFormat="1">
      <alignment horizontal="center"/>
    </xf>
    <xf borderId="9" fillId="4" fontId="11" numFmtId="0" xfId="0" applyBorder="1" applyFill="1" applyFont="1"/>
    <xf borderId="11" fillId="4" fontId="11" numFmtId="0" xfId="0" applyAlignment="1" applyBorder="1" applyFill="1" applyFont="1">
      <alignment horizontal="right"/>
    </xf>
    <xf borderId="9" fillId="4" fontId="7" numFmtId="0" xfId="0" applyAlignment="1" applyBorder="1" applyFill="1" applyFont="1">
      <alignment horizontal="center"/>
    </xf>
    <xf borderId="4" fillId="3" fontId="13" numFmtId="0" xfId="0" applyBorder="1" applyFill="1" applyFont="1"/>
    <xf borderId="0" fillId="4" fontId="5" numFmtId="0" xfId="0" applyFill="1" applyFont="1"/>
    <xf borderId="1" fillId="4" fontId="11" numFmtId="0" xfId="0" applyBorder="1" applyFill="1" applyFont="1"/>
    <xf borderId="8" fillId="4" fontId="10" numFmtId="0" xfId="0" applyAlignment="1" applyBorder="1" applyFill="1" applyFont="1">
      <alignment horizontal="center"/>
    </xf>
    <xf borderId="0" fillId="0" fontId="10" numFmtId="0" xfId="0" applyAlignment="1" applyFont="1">
      <alignment horizontal="center"/>
    </xf>
    <xf borderId="1" fillId="4" fontId="11" numFmtId="0" xfId="0" applyAlignment="1" applyBorder="1" applyFill="1" applyFont="1">
      <alignment vertical="bottom"/>
    </xf>
    <xf borderId="10" fillId="4" fontId="10" numFmtId="0" xfId="0" applyAlignment="1" applyBorder="1" applyFill="1" applyFont="1">
      <alignment horizontal="center"/>
    </xf>
    <xf borderId="8" fillId="4" fontId="15" numFmtId="0" xfId="0" applyAlignment="1" applyBorder="1" applyFill="1" applyFont="1">
      <alignment horizontal="center"/>
    </xf>
    <xf borderId="9" fillId="4" fontId="14" numFmtId="0" xfId="0" applyAlignment="1" applyBorder="1" applyFill="1" applyFont="1">
      <alignment horizontal="left"/>
    </xf>
    <xf borderId="11" fillId="0" fontId="2" numFmtId="0" xfId="0" applyBorder="1" applyFont="1"/>
    <xf borderId="0" fillId="9" fontId="5" numFmtId="165" xfId="0" applyAlignment="1" applyFill="1" applyFont="1" applyNumberFormat="1">
      <alignment horizontal="center"/>
    </xf>
    <xf borderId="9" fillId="4" fontId="10" numFmtId="0" xfId="0" applyBorder="1" applyFill="1" applyFont="1"/>
    <xf borderId="11" fillId="4" fontId="10" numFmtId="167" xfId="0" applyBorder="1" applyFill="1" applyFont="1" applyNumberFormat="1"/>
    <xf borderId="0" fillId="0" fontId="10" numFmtId="167" xfId="0" applyFont="1" applyNumberFormat="1"/>
    <xf borderId="11" fillId="4" fontId="11" numFmtId="0" xfId="0" applyAlignment="1" applyBorder="1" applyFill="1" applyFont="1">
      <alignment horizontal="right" shrinkToFit="0" wrapText="1"/>
    </xf>
    <xf borderId="9" fillId="4" fontId="11" numFmtId="167" xfId="0" applyAlignment="1" applyBorder="1" applyFill="1" applyFont="1" applyNumberFormat="1">
      <alignment vertical="bottom"/>
    </xf>
    <xf borderId="0" fillId="4" fontId="10" numFmtId="167" xfId="0" applyFill="1" applyFont="1" applyNumberFormat="1"/>
    <xf borderId="11" fillId="4" fontId="11" numFmtId="167" xfId="0" applyAlignment="1" applyBorder="1" applyFill="1" applyFont="1" applyNumberFormat="1">
      <alignment horizontal="right" vertical="bottom"/>
    </xf>
    <xf borderId="9" fillId="4" fontId="14" numFmtId="167" xfId="0" applyAlignment="1" applyBorder="1" applyFill="1" applyFont="1" applyNumberFormat="1">
      <alignment horizontal="left"/>
    </xf>
    <xf borderId="4" fillId="4" fontId="14" numFmtId="167" xfId="0" applyAlignment="1" applyBorder="1" applyFill="1" applyFont="1" applyNumberFormat="1">
      <alignment horizontal="left"/>
    </xf>
    <xf borderId="11" fillId="4" fontId="11" numFmtId="168" xfId="0" applyAlignment="1" applyBorder="1" applyFill="1" applyFont="1" applyNumberFormat="1">
      <alignment horizontal="right"/>
    </xf>
    <xf borderId="4" fillId="4" fontId="11" numFmtId="0" xfId="0" applyBorder="1" applyFill="1" applyFont="1"/>
    <xf borderId="6" fillId="4" fontId="11" numFmtId="169" xfId="0" applyBorder="1" applyFill="1" applyFont="1" applyNumberFormat="1"/>
    <xf borderId="5" fillId="4" fontId="11" numFmtId="169" xfId="0" applyBorder="1" applyFill="1" applyFont="1" applyNumberFormat="1"/>
    <xf borderId="0" fillId="0" fontId="11" numFmtId="169" xfId="0" applyFont="1" applyNumberFormat="1"/>
    <xf borderId="4" fillId="4" fontId="7" numFmtId="0" xfId="0" applyAlignment="1" applyBorder="1" applyFill="1" applyFont="1">
      <alignment horizontal="center"/>
    </xf>
    <xf borderId="4" fillId="4" fontId="11" numFmtId="169" xfId="0" applyAlignment="1" applyBorder="1" applyFill="1" applyFont="1" applyNumberFormat="1">
      <alignment vertical="bottom"/>
    </xf>
    <xf borderId="5" fillId="4" fontId="5" numFmtId="0" xfId="0" applyBorder="1" applyFill="1" applyFont="1"/>
    <xf borderId="6" fillId="4" fontId="11" numFmtId="167" xfId="0" applyBorder="1" applyFill="1" applyFont="1" applyNumberFormat="1"/>
    <xf borderId="6" fillId="4" fontId="11" numFmtId="167" xfId="0" applyAlignment="1" applyBorder="1" applyFill="1" applyFont="1" applyNumberFormat="1">
      <alignment horizontal="right" vertical="bottom"/>
    </xf>
    <xf borderId="0" fillId="0" fontId="14" numFmtId="169" xfId="0" applyAlignment="1" applyFont="1" applyNumberFormat="1">
      <alignment horizontal="left"/>
    </xf>
    <xf borderId="4" fillId="4" fontId="14" numFmtId="169" xfId="0" applyAlignment="1" applyBorder="1" applyFill="1" applyFont="1" applyNumberFormat="1">
      <alignment horizontal="left"/>
    </xf>
    <xf borderId="5" fillId="9" fontId="5" numFmtId="165" xfId="0" applyAlignment="1" applyBorder="1" applyFill="1" applyFont="1" applyNumberFormat="1">
      <alignment horizontal="center"/>
    </xf>
    <xf borderId="11" fillId="4" fontId="11" numFmtId="9" xfId="0" applyAlignment="1" applyBorder="1" applyFill="1" applyFont="1" applyNumberFormat="1">
      <alignment horizontal="right"/>
    </xf>
    <xf borderId="0" fillId="0" fontId="10" numFmtId="0" xfId="0" applyFont="1"/>
    <xf borderId="9" fillId="4" fontId="10" numFmtId="0" xfId="0" applyAlignment="1" applyBorder="1" applyFill="1" applyFont="1">
      <alignment vertical="bottom"/>
    </xf>
    <xf borderId="9" fillId="2" fontId="3" numFmtId="0" xfId="0" applyBorder="1" applyFill="1" applyFont="1"/>
    <xf borderId="0" fillId="0" fontId="3" numFmtId="0" xfId="0" applyFont="1"/>
    <xf borderId="4" fillId="2" fontId="16" numFmtId="0" xfId="0" applyBorder="1" applyFill="1" applyFont="1"/>
    <xf borderId="0" fillId="4" fontId="11" numFmtId="169" xfId="0" applyFill="1" applyFont="1" applyNumberFormat="1"/>
    <xf borderId="11" fillId="4" fontId="10" numFmtId="167" xfId="0" applyAlignment="1" applyBorder="1" applyFill="1" applyFont="1" applyNumberFormat="1">
      <alignment horizontal="right" vertical="bottom"/>
    </xf>
    <xf borderId="7" fillId="4" fontId="17" numFmtId="0" xfId="0" applyAlignment="1" applyBorder="1" applyFill="1" applyFont="1">
      <alignment horizontal="center"/>
    </xf>
    <xf borderId="11" fillId="4" fontId="11" numFmtId="0" xfId="0" applyBorder="1" applyFill="1" applyFont="1"/>
    <xf borderId="10" fillId="4" fontId="17" numFmtId="167" xfId="0" applyAlignment="1" applyBorder="1" applyFill="1" applyFont="1" applyNumberFormat="1">
      <alignment horizontal="center" vertical="bottom"/>
    </xf>
    <xf borderId="11" fillId="4" fontId="11" numFmtId="169" xfId="0" applyBorder="1" applyFill="1" applyFont="1" applyNumberFormat="1"/>
    <xf borderId="10" fillId="4" fontId="17" numFmtId="0" xfId="0" applyAlignment="1" applyBorder="1" applyFill="1" applyFont="1">
      <alignment horizontal="center" vertical="bottom"/>
    </xf>
    <xf borderId="9" fillId="4" fontId="18" numFmtId="169" xfId="0" applyAlignment="1" applyBorder="1" applyFill="1" applyFont="1" applyNumberFormat="1">
      <alignment vertical="bottom"/>
    </xf>
    <xf borderId="8" fillId="8" fontId="17" numFmtId="0" xfId="0" applyAlignment="1" applyBorder="1" applyFill="1" applyFont="1">
      <alignment horizontal="center" shrinkToFit="0" vertical="bottom" wrapText="1"/>
    </xf>
    <xf borderId="0" fillId="0" fontId="9" numFmtId="167" xfId="0" applyAlignment="1" applyFont="1" applyNumberFormat="1">
      <alignment horizontal="center" shrinkToFit="0" vertical="bottom" wrapText="1"/>
    </xf>
    <xf borderId="0" fillId="0" fontId="10" numFmtId="0" xfId="0" applyAlignment="1" applyFont="1">
      <alignment horizontal="center" shrinkToFit="0" vertical="bottom" wrapText="1"/>
    </xf>
    <xf borderId="0" fillId="0" fontId="10" numFmtId="169" xfId="0" applyAlignment="1" applyFont="1" applyNumberFormat="1">
      <alignment horizontal="center" shrinkToFit="0" vertical="bottom" wrapText="1"/>
    </xf>
    <xf borderId="5" fillId="4" fontId="11" numFmtId="167" xfId="0" applyAlignment="1" applyBorder="1" applyFill="1" applyFont="1" applyNumberFormat="1">
      <alignment horizontal="right"/>
    </xf>
    <xf borderId="11" fillId="4" fontId="18" numFmtId="166" xfId="0" applyAlignment="1" applyBorder="1" applyFill="1" applyFont="1" applyNumberFormat="1">
      <alignment horizontal="right" vertical="bottom"/>
    </xf>
    <xf borderId="4" fillId="4" fontId="19" numFmtId="0" xfId="0" applyAlignment="1" applyBorder="1" applyFill="1" applyFont="1">
      <alignment horizontal="center"/>
    </xf>
    <xf borderId="6" fillId="4" fontId="11" numFmtId="167" xfId="0" applyAlignment="1" applyBorder="1" applyFill="1" applyFont="1" applyNumberFormat="1">
      <alignment horizontal="right"/>
    </xf>
    <xf borderId="5" fillId="4" fontId="19" numFmtId="167" xfId="0" applyAlignment="1" applyBorder="1" applyFill="1" applyFont="1" applyNumberFormat="1">
      <alignment horizontal="center" vertical="bottom"/>
    </xf>
    <xf borderId="5" fillId="4" fontId="19" numFmtId="0" xfId="0" applyAlignment="1" applyBorder="1" applyFill="1" applyFont="1">
      <alignment horizontal="center"/>
    </xf>
    <xf borderId="6" fillId="8" fontId="19" numFmtId="0" xfId="0" applyAlignment="1" applyBorder="1" applyFill="1" applyFont="1">
      <alignment horizontal="center"/>
    </xf>
    <xf borderId="0" fillId="0" fontId="11" numFmtId="167" xfId="0" applyAlignment="1" applyFont="1" applyNumberFormat="1">
      <alignment horizontal="center" vertical="bottom"/>
    </xf>
    <xf borderId="11" fillId="4" fontId="10" numFmtId="0" xfId="0" applyAlignment="1" applyBorder="1" applyFill="1" applyFont="1">
      <alignment horizontal="right"/>
    </xf>
    <xf borderId="0" fillId="0" fontId="11" numFmtId="0" xfId="0" applyAlignment="1" applyFont="1">
      <alignment horizontal="center" vertical="bottom"/>
    </xf>
    <xf borderId="0" fillId="0" fontId="11" numFmtId="169" xfId="0" applyAlignment="1" applyFont="1" applyNumberFormat="1">
      <alignment horizontal="center" vertical="bottom"/>
    </xf>
    <xf borderId="0" fillId="0" fontId="11" numFmtId="167" xfId="0" applyAlignment="1" applyFont="1" applyNumberFormat="1">
      <alignment horizontal="right"/>
    </xf>
    <xf borderId="0" fillId="0" fontId="11" numFmtId="167" xfId="0" applyAlignment="1" applyFont="1" applyNumberFormat="1">
      <alignment horizontal="center"/>
    </xf>
    <xf borderId="0" fillId="0" fontId="11" numFmtId="169" xfId="0" applyAlignment="1" applyFont="1" applyNumberFormat="1">
      <alignment horizontal="center"/>
    </xf>
    <xf borderId="11" fillId="4" fontId="11" numFmtId="167" xfId="0" applyAlignment="1" applyBorder="1" applyFill="1" applyFont="1" applyNumberFormat="1">
      <alignment vertical="bottom"/>
    </xf>
    <xf borderId="11" fillId="4" fontId="5" numFmtId="0" xfId="0" applyAlignment="1" applyBorder="1" applyFill="1" applyFont="1">
      <alignment horizontal="right" shrinkToFit="0" wrapText="1"/>
    </xf>
    <xf borderId="11" fillId="4" fontId="11" numFmtId="168" xfId="0" applyAlignment="1" applyBorder="1" applyFill="1" applyFont="1" applyNumberFormat="1">
      <alignment horizontal="right" shrinkToFit="0" wrapText="1"/>
    </xf>
    <xf borderId="9" fillId="4" fontId="11" numFmtId="169" xfId="0" applyAlignment="1" applyBorder="1" applyFill="1" applyFont="1" applyNumberFormat="1">
      <alignment vertical="bottom"/>
    </xf>
    <xf borderId="4" fillId="4" fontId="11" numFmtId="169" xfId="0" applyBorder="1" applyFill="1" applyFont="1" applyNumberFormat="1"/>
    <xf borderId="11" fillId="4" fontId="11" numFmtId="169" xfId="0" applyAlignment="1" applyBorder="1" applyFill="1" applyFont="1" applyNumberFormat="1">
      <alignment horizontal="right" vertical="bottom"/>
    </xf>
    <xf borderId="9" fillId="4" fontId="11" numFmtId="0" xfId="0" applyAlignment="1" applyBorder="1" applyFill="1" applyFont="1">
      <alignment shrinkToFit="0" vertical="bottom" wrapText="1"/>
    </xf>
    <xf borderId="11" fillId="4" fontId="11" numFmtId="164" xfId="0" applyAlignment="1" applyBorder="1" applyFill="1" applyFont="1" applyNumberFormat="1">
      <alignment horizontal="right"/>
    </xf>
    <xf borderId="4" fillId="4" fontId="11" numFmtId="169" xfId="0" applyAlignment="1" applyBorder="1" applyFill="1" applyFont="1" applyNumberFormat="1">
      <alignment shrinkToFit="0" vertical="bottom" wrapText="1"/>
    </xf>
    <xf borderId="6" fillId="4" fontId="11" numFmtId="169" xfId="0" applyAlignment="1" applyBorder="1" applyFill="1" applyFont="1" applyNumberFormat="1">
      <alignment horizontal="right" vertical="bottom"/>
    </xf>
    <xf borderId="11" fillId="4" fontId="11" numFmtId="169" xfId="0" applyAlignment="1" applyBorder="1" applyFill="1" applyFont="1" applyNumberFormat="1">
      <alignment horizontal="right"/>
    </xf>
    <xf borderId="0" fillId="0" fontId="11" numFmtId="169" xfId="0" applyAlignment="1" applyFont="1" applyNumberFormat="1">
      <alignment horizontal="right"/>
    </xf>
    <xf borderId="9" fillId="4" fontId="10" numFmtId="169" xfId="0" applyAlignment="1" applyBorder="1" applyFill="1" applyFont="1" applyNumberFormat="1">
      <alignment vertical="bottom"/>
    </xf>
    <xf borderId="0" fillId="4" fontId="11" numFmtId="169" xfId="0" applyAlignment="1" applyFill="1" applyFont="1" applyNumberFormat="1">
      <alignment horizontal="right"/>
    </xf>
    <xf borderId="5" fillId="4" fontId="11" numFmtId="169" xfId="0" applyAlignment="1" applyBorder="1" applyFill="1" applyFont="1" applyNumberFormat="1">
      <alignment horizontal="right"/>
    </xf>
    <xf borderId="6" fillId="4" fontId="11" numFmtId="169" xfId="0" applyAlignment="1" applyBorder="1" applyFill="1" applyFont="1" applyNumberFormat="1">
      <alignment horizontal="right"/>
    </xf>
    <xf borderId="11" fillId="4" fontId="20" numFmtId="164" xfId="0" applyAlignment="1" applyBorder="1" applyFill="1" applyFont="1" applyNumberFormat="1">
      <alignment horizontal="right"/>
    </xf>
    <xf borderId="0" fillId="0" fontId="18" numFmtId="166" xfId="0" applyFont="1" applyNumberFormat="1"/>
    <xf borderId="9" fillId="4" fontId="18" numFmtId="0" xfId="0" applyBorder="1" applyFill="1" applyFont="1"/>
    <xf borderId="6" fillId="4" fontId="11" numFmtId="0" xfId="0" applyAlignment="1" applyBorder="1" applyFill="1" applyFont="1">
      <alignment horizontal="right"/>
    </xf>
    <xf borderId="0" fillId="4" fontId="18" numFmtId="166" xfId="0" applyFill="1" applyFont="1" applyNumberFormat="1"/>
    <xf borderId="11" fillId="4" fontId="18" numFmtId="9" xfId="0" applyBorder="1" applyFill="1" applyFont="1" applyNumberFormat="1"/>
    <xf borderId="11" fillId="4" fontId="18" numFmtId="166" xfId="0" applyBorder="1" applyFill="1" applyFont="1" applyNumberFormat="1"/>
    <xf borderId="0" fillId="0" fontId="18" numFmtId="0" xfId="0" applyFont="1"/>
    <xf borderId="4" fillId="4" fontId="11" numFmtId="0" xfId="0" applyAlignment="1" applyBorder="1" applyFill="1" applyFont="1">
      <alignment vertical="bottom"/>
    </xf>
    <xf borderId="9" fillId="4" fontId="11" numFmtId="169" xfId="0" applyBorder="1" applyFill="1" applyFont="1" applyNumberFormat="1"/>
    <xf borderId="9" fillId="4" fontId="14" numFmtId="169" xfId="0" applyAlignment="1" applyBorder="1" applyFill="1" applyFont="1" applyNumberFormat="1">
      <alignment horizontal="left"/>
    </xf>
    <xf borderId="0" fillId="0" fontId="11" numFmtId="0" xfId="0" applyAlignment="1" applyFont="1">
      <alignment horizontal="right"/>
    </xf>
    <xf borderId="4" fillId="4" fontId="10" numFmtId="0" xfId="0" applyBorder="1" applyFill="1" applyFont="1"/>
    <xf borderId="5" fillId="4" fontId="10" numFmtId="169" xfId="0" applyAlignment="1" applyBorder="1" applyFill="1" applyFont="1" applyNumberFormat="1">
      <alignment horizontal="right"/>
    </xf>
    <xf borderId="6" fillId="4" fontId="10" numFmtId="169" xfId="0" applyAlignment="1" applyBorder="1" applyFill="1" applyFont="1" applyNumberFormat="1">
      <alignment horizontal="right"/>
    </xf>
    <xf borderId="5" fillId="4" fontId="10" numFmtId="167" xfId="0" applyBorder="1" applyFill="1" applyFont="1" applyNumberFormat="1"/>
    <xf borderId="9" fillId="7" fontId="13" numFmtId="0" xfId="0" applyAlignment="1" applyBorder="1" applyFill="1" applyFont="1">
      <alignment shrinkToFit="0" wrapText="1"/>
    </xf>
    <xf borderId="0" fillId="0" fontId="11" numFmtId="0" xfId="0" applyFont="1"/>
    <xf borderId="6" fillId="4" fontId="10" numFmtId="167" xfId="0" applyBorder="1" applyFill="1" applyFont="1" applyNumberFormat="1"/>
    <xf borderId="4" fillId="4" fontId="14" numFmtId="0" xfId="0" applyAlignment="1" applyBorder="1" applyFill="1" applyFont="1">
      <alignment horizontal="left"/>
    </xf>
    <xf borderId="3" fillId="4" fontId="11" numFmtId="167" xfId="0" applyAlignment="1" applyBorder="1" applyFill="1" applyFont="1" applyNumberFormat="1">
      <alignment horizontal="right"/>
    </xf>
    <xf borderId="0" fillId="0" fontId="14" numFmtId="0" xfId="0" applyAlignment="1" applyFont="1">
      <alignment horizontal="left"/>
    </xf>
    <xf borderId="9" fillId="4" fontId="11" numFmtId="0" xfId="0" applyAlignment="1" applyBorder="1" applyFill="1" applyFont="1">
      <alignment vertical="bottom"/>
    </xf>
    <xf borderId="11" fillId="4" fontId="11" numFmtId="167" xfId="0" applyAlignment="1" applyBorder="1" applyFill="1" applyFont="1" applyNumberFormat="1">
      <alignment horizontal="right"/>
    </xf>
    <xf borderId="11" fillId="4" fontId="11" numFmtId="0" xfId="0" applyAlignment="1" applyBorder="1" applyFill="1" applyFont="1">
      <alignment vertical="bottom"/>
    </xf>
    <xf borderId="9" fillId="3" fontId="13" numFmtId="0" xfId="0" applyAlignment="1" applyBorder="1" applyFill="1" applyFont="1">
      <alignment shrinkToFit="0" wrapText="1"/>
    </xf>
    <xf borderId="3" fillId="4" fontId="11" numFmtId="167" xfId="0" applyBorder="1" applyFill="1" applyFont="1" applyNumberFormat="1"/>
    <xf borderId="0" fillId="0" fontId="21" numFmtId="0" xfId="0" applyFont="1"/>
    <xf borderId="11" fillId="4" fontId="10" numFmtId="167" xfId="0" applyAlignment="1" applyBorder="1" applyFill="1" applyFont="1" applyNumberFormat="1">
      <alignment horizontal="right"/>
    </xf>
    <xf borderId="4" fillId="4" fontId="11" numFmtId="0" xfId="0" applyAlignment="1" applyBorder="1" applyFill="1" applyFont="1">
      <alignment shrinkToFit="0" wrapText="1"/>
    </xf>
    <xf borderId="11" fillId="4" fontId="11" numFmtId="0" xfId="0" applyAlignment="1" applyBorder="1" applyFill="1" applyFont="1">
      <alignment horizontal="right" vertical="bottom"/>
    </xf>
    <xf borderId="7" fillId="5" fontId="8" numFmtId="0" xfId="0" applyAlignment="1" applyBorder="1" applyFill="1" applyFont="1">
      <alignment vertical="bottom"/>
    </xf>
    <xf borderId="10" fillId="4" fontId="10" numFmtId="0" xfId="0" applyAlignment="1" applyBorder="1" applyFill="1" applyFont="1">
      <alignment horizontal="center" vertical="bottom"/>
    </xf>
    <xf borderId="8" fillId="4" fontId="10" numFmtId="0" xfId="0" applyAlignment="1" applyBorder="1" applyFill="1" applyFont="1">
      <alignment horizontal="center" vertical="bottom"/>
    </xf>
    <xf borderId="0" fillId="0" fontId="18" numFmtId="0" xfId="0" applyAlignment="1" applyFont="1">
      <alignment horizontal="right"/>
    </xf>
    <xf borderId="0" fillId="4" fontId="11" numFmtId="0" xfId="0" applyAlignment="1" applyFill="1" applyFont="1">
      <alignment horizontal="right" vertical="bottom"/>
    </xf>
    <xf borderId="0" fillId="4" fontId="11" numFmtId="167" xfId="0" applyFill="1" applyFont="1" applyNumberFormat="1"/>
    <xf borderId="11" fillId="4" fontId="11" numFmtId="167" xfId="0" applyBorder="1" applyFill="1" applyFont="1" applyNumberFormat="1"/>
    <xf borderId="11" fillId="4" fontId="11" numFmtId="170" xfId="0" applyAlignment="1" applyBorder="1" applyFill="1" applyFont="1" applyNumberFormat="1">
      <alignment horizontal="right" vertical="bottom"/>
    </xf>
    <xf borderId="5" fillId="4" fontId="11" numFmtId="0" xfId="0" applyAlignment="1" applyBorder="1" applyFill="1" applyFont="1">
      <alignment horizontal="right"/>
    </xf>
    <xf borderId="9" fillId="4" fontId="18" numFmtId="0" xfId="0" applyAlignment="1" applyBorder="1" applyFill="1" applyFont="1">
      <alignment vertical="bottom"/>
    </xf>
    <xf borderId="6" fillId="4" fontId="10" numFmtId="167" xfId="0" applyAlignment="1" applyBorder="1" applyFill="1" applyFont="1" applyNumberFormat="1">
      <alignment horizontal="right"/>
    </xf>
    <xf borderId="5" fillId="4" fontId="11" numFmtId="0" xfId="0" applyAlignment="1" applyBorder="1" applyFill="1" applyFont="1">
      <alignment horizontal="right" vertical="bottom"/>
    </xf>
    <xf borderId="6" fillId="4" fontId="11" numFmtId="0" xfId="0" applyAlignment="1" applyBorder="1" applyFill="1" applyFont="1">
      <alignment horizontal="right" vertical="bottom"/>
    </xf>
    <xf borderId="0" fillId="4" fontId="11" numFmtId="0" xfId="0" applyFill="1" applyFont="1"/>
    <xf borderId="6" fillId="4" fontId="11" numFmtId="0" xfId="0" applyAlignment="1" applyBorder="1" applyFill="1" applyFont="1">
      <alignment vertical="bottom"/>
    </xf>
    <xf borderId="4" fillId="4" fontId="10" numFmtId="0" xfId="0" applyAlignment="1" applyBorder="1" applyFill="1" applyFont="1">
      <alignment vertical="bottom"/>
    </xf>
    <xf borderId="6" fillId="4" fontId="10" numFmtId="167" xfId="0" applyAlignment="1" applyBorder="1" applyFill="1" applyFont="1" applyNumberFormat="1">
      <alignment horizontal="right" vertical="bottom"/>
    </xf>
    <xf borderId="0" fillId="4" fontId="11" numFmtId="0" xfId="0" applyAlignment="1" applyFill="1" applyFont="1">
      <alignment horizontal="right"/>
    </xf>
    <xf borderId="9" fillId="4" fontId="11" numFmtId="0" xfId="0" applyAlignment="1" applyBorder="1" applyFill="1" applyFont="1">
      <alignment shrinkToFit="0" wrapText="1"/>
    </xf>
    <xf borderId="0" fillId="0" fontId="22" numFmtId="0" xfId="0" applyFont="1"/>
    <xf borderId="1" fillId="4" fontId="8" numFmtId="0" xfId="0" applyBorder="1" applyFill="1" applyFont="1"/>
    <xf borderId="9" fillId="4" fontId="14" numFmtId="0" xfId="0" applyAlignment="1" applyBorder="1" applyFill="1" applyFont="1">
      <alignment shrinkToFit="0" wrapText="1"/>
    </xf>
    <xf borderId="11" fillId="4" fontId="14" numFmtId="167" xfId="0" applyBorder="1" applyFill="1" applyFont="1" applyNumberFormat="1"/>
    <xf borderId="9" fillId="4" fontId="8" numFmtId="0" xfId="0" applyBorder="1" applyFill="1" applyFont="1"/>
    <xf borderId="0" fillId="4" fontId="8" numFmtId="0" xfId="0" applyFill="1" applyFont="1"/>
    <xf borderId="9" fillId="4" fontId="23" numFmtId="0" xfId="0" applyBorder="1" applyFill="1" applyFont="1"/>
    <xf borderId="11" fillId="4" fontId="8" numFmtId="0" xfId="0" applyBorder="1" applyFill="1" applyFont="1"/>
    <xf borderId="11" fillId="4" fontId="23" numFmtId="166" xfId="0" applyBorder="1" applyFill="1" applyFont="1" applyNumberFormat="1"/>
    <xf borderId="4" fillId="4" fontId="14" numFmtId="0" xfId="0" applyBorder="1" applyFill="1" applyFont="1"/>
    <xf borderId="5" fillId="4" fontId="14" numFmtId="169" xfId="0" applyBorder="1" applyFill="1" applyFont="1" applyNumberFormat="1"/>
    <xf borderId="9" fillId="4" fontId="14" numFmtId="0" xfId="0" applyBorder="1" applyFill="1" applyFont="1"/>
    <xf borderId="6" fillId="4" fontId="14" numFmtId="169" xfId="0" applyBorder="1" applyFill="1" applyFont="1" applyNumberFormat="1"/>
    <xf borderId="4" fillId="4" fontId="23" numFmtId="0" xfId="0" applyBorder="1" applyFill="1" applyFont="1"/>
    <xf borderId="9" fillId="4" fontId="24" numFmtId="0" xfId="0" applyBorder="1" applyFill="1" applyFont="1"/>
    <xf borderId="6" fillId="4" fontId="23" numFmtId="166" xfId="0" applyBorder="1" applyFill="1" applyFont="1" applyNumberFormat="1"/>
    <xf borderId="0" fillId="4" fontId="24" numFmtId="167" xfId="0" applyFill="1" applyFont="1" applyNumberFormat="1"/>
    <xf borderId="11" fillId="4" fontId="24" numFmtId="167" xfId="0" applyBorder="1" applyFill="1" applyFont="1" applyNumberFormat="1"/>
    <xf borderId="0" fillId="4" fontId="23" numFmtId="166" xfId="0" applyFill="1" applyFont="1" applyNumberFormat="1"/>
    <xf borderId="0" fillId="0" fontId="25" numFmtId="0" xfId="0" applyFont="1"/>
    <xf borderId="0" fillId="4" fontId="14" numFmtId="167" xfId="0" applyFill="1" applyFont="1" applyNumberFormat="1"/>
    <xf borderId="0" fillId="0" fontId="26" numFmtId="0" xfId="0" applyFont="1"/>
    <xf borderId="0" fillId="4" fontId="14" numFmtId="169" xfId="0" applyFill="1" applyFont="1" applyNumberFormat="1"/>
    <xf borderId="11" fillId="4" fontId="14" numFmtId="169" xfId="0" applyBorder="1" applyFill="1" applyFont="1" applyNumberFormat="1"/>
    <xf borderId="0" fillId="0" fontId="6" numFmtId="0" xfId="0" applyFont="1"/>
    <xf borderId="3" fillId="4" fontId="10" numFmtId="165" xfId="0" applyBorder="1" applyFill="1" applyFont="1" applyNumberFormat="1"/>
    <xf borderId="9" fillId="4" fontId="10" numFmtId="0" xfId="0" applyAlignment="1" applyBorder="1" applyFill="1" applyFont="1">
      <alignment shrinkToFit="0" wrapText="1"/>
    </xf>
    <xf borderId="11" fillId="4" fontId="10" numFmtId="165" xfId="0" applyBorder="1" applyFill="1" applyFont="1" applyNumberFormat="1"/>
    <xf borderId="4" fillId="4" fontId="8" numFmtId="0" xfId="0" applyBorder="1" applyFill="1" applyFont="1"/>
    <xf borderId="5" fillId="4" fontId="8" numFmtId="0" xfId="0" applyBorder="1" applyFill="1" applyFont="1"/>
    <xf borderId="6" fillId="4" fontId="8" numFmtId="0" xfId="0" applyBorder="1" applyFill="1" applyFont="1"/>
    <xf borderId="4" fillId="4" fontId="24" numFmtId="0" xfId="0" applyBorder="1" applyFill="1" applyFont="1"/>
    <xf borderId="5" fillId="4" fontId="24" numFmtId="0" xfId="0" applyAlignment="1" applyBorder="1" applyFill="1" applyFont="1">
      <alignment horizontal="right"/>
    </xf>
    <xf borderId="6" fillId="4" fontId="24" numFmtId="0" xfId="0" applyAlignment="1" applyBorder="1" applyFill="1" applyFont="1">
      <alignment horizontal="right"/>
    </xf>
    <xf borderId="0" fillId="0" fontId="14" numFmtId="0" xfId="0" applyFont="1"/>
    <xf borderId="5" fillId="4" fontId="24" numFmtId="167" xfId="0" applyBorder="1" applyFill="1" applyFont="1" applyNumberFormat="1"/>
    <xf borderId="11" fillId="4" fontId="10" numFmtId="165" xfId="0" applyAlignment="1" applyBorder="1" applyFill="1" applyFont="1" applyNumberFormat="1">
      <alignment horizontal="right"/>
    </xf>
    <xf borderId="6" fillId="4" fontId="24" numFmtId="167" xfId="0" applyBorder="1" applyFill="1" applyFont="1" applyNumberFormat="1"/>
    <xf borderId="5" fillId="4" fontId="23" numFmtId="166" xfId="0" applyBorder="1" applyFill="1" applyFont="1" applyNumberFormat="1"/>
    <xf borderId="10" fillId="4" fontId="24" numFmtId="0" xfId="0" applyAlignment="1" applyBorder="1" applyFill="1" applyFont="1">
      <alignment horizontal="center"/>
    </xf>
    <xf borderId="8" fillId="4" fontId="24" numFmtId="0" xfId="0" applyAlignment="1" applyBorder="1" applyFill="1" applyFont="1">
      <alignment horizontal="center"/>
    </xf>
    <xf borderId="0" fillId="4" fontId="14" numFmtId="0" xfId="0" applyAlignment="1" applyFill="1" applyFont="1">
      <alignment horizontal="right"/>
    </xf>
    <xf borderId="11" fillId="4" fontId="14" numFmtId="0" xfId="0" applyAlignment="1" applyBorder="1" applyFill="1" applyFont="1">
      <alignment horizontal="right"/>
    </xf>
    <xf borderId="11" fillId="4" fontId="14" numFmtId="171" xfId="0" applyAlignment="1" applyBorder="1" applyFill="1" applyFont="1" applyNumberFormat="1">
      <alignment horizontal="right"/>
    </xf>
    <xf borderId="5" fillId="4" fontId="14" numFmtId="0" xfId="0" applyAlignment="1" applyBorder="1" applyFill="1" applyFont="1">
      <alignment horizontal="right"/>
    </xf>
    <xf borderId="6" fillId="4" fontId="14" numFmtId="0" xfId="0" applyAlignment="1" applyBorder="1" applyFill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25.5"/>
    <col customWidth="1" min="3" max="3" width="24.75"/>
    <col customWidth="1" min="4" max="4" width="37.13"/>
    <col customWidth="1" min="5" max="5" width="16.0"/>
    <col customWidth="1" min="6" max="6" width="23.88"/>
    <col customWidth="1" min="7" max="7" width="17.88"/>
    <col customWidth="1" min="10" max="10" width="14.13"/>
    <col customWidth="1" min="12" max="12" width="15.0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</row>
    <row r="2" ht="15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8"/>
      <c r="M2" s="8"/>
      <c r="N2" s="8"/>
      <c r="O2" s="8"/>
      <c r="P2" s="8"/>
      <c r="Q2" s="8"/>
      <c r="R2" s="8"/>
      <c r="S2" s="8"/>
      <c r="T2" s="8"/>
      <c r="U2" s="8"/>
    </row>
    <row r="3" ht="15.75" customHeight="1"/>
    <row r="4" ht="15.75" customHeight="1">
      <c r="A4" s="9"/>
      <c r="B4" s="11"/>
      <c r="C4" s="11"/>
      <c r="D4" s="11"/>
      <c r="E4" s="11"/>
      <c r="F4" s="11"/>
      <c r="G4" s="13"/>
      <c r="H4" s="14" t="s">
        <v>4</v>
      </c>
      <c r="I4" s="2"/>
      <c r="J4" s="2"/>
      <c r="K4" s="15"/>
      <c r="L4" s="16"/>
      <c r="M4" s="16"/>
      <c r="N4" s="16"/>
      <c r="O4" s="16"/>
      <c r="P4" s="17"/>
      <c r="Q4" s="17"/>
      <c r="R4" s="16"/>
      <c r="S4" s="16"/>
      <c r="T4" s="16"/>
    </row>
    <row r="5" ht="15.75" customHeight="1">
      <c r="A5" s="20" t="s">
        <v>8</v>
      </c>
      <c r="B5" s="22" t="s">
        <v>9</v>
      </c>
      <c r="C5" s="22" t="s">
        <v>10</v>
      </c>
      <c r="D5" s="22" t="s">
        <v>11</v>
      </c>
      <c r="E5" s="22" t="s">
        <v>12</v>
      </c>
      <c r="F5" s="22" t="s">
        <v>14</v>
      </c>
      <c r="G5" s="22" t="s">
        <v>15</v>
      </c>
      <c r="H5" s="24" t="s">
        <v>17</v>
      </c>
      <c r="I5" s="24" t="s">
        <v>18</v>
      </c>
      <c r="J5" s="24" t="s">
        <v>19</v>
      </c>
      <c r="K5" s="28" t="s">
        <v>20</v>
      </c>
      <c r="L5" s="29"/>
      <c r="M5" s="29"/>
      <c r="N5" s="29"/>
      <c r="O5" s="29"/>
      <c r="P5" s="29"/>
      <c r="Q5" s="29"/>
      <c r="R5" s="29"/>
      <c r="S5" s="29"/>
      <c r="T5" s="29"/>
      <c r="U5" s="30"/>
    </row>
    <row r="6" ht="15.75" customHeight="1">
      <c r="A6" s="33">
        <v>44525.0</v>
      </c>
      <c r="B6" s="35" t="s">
        <v>22</v>
      </c>
      <c r="C6" s="35" t="s">
        <v>25</v>
      </c>
      <c r="D6" s="35" t="s">
        <v>26</v>
      </c>
      <c r="E6" s="35" t="s">
        <v>27</v>
      </c>
      <c r="F6" s="35" t="s">
        <v>28</v>
      </c>
      <c r="G6" s="35" t="s">
        <v>28</v>
      </c>
      <c r="H6" s="39">
        <v>4.6</v>
      </c>
      <c r="I6" s="39">
        <v>17.7</v>
      </c>
      <c r="J6" s="39">
        <v>34.0</v>
      </c>
      <c r="K6" s="40">
        <v>0.18</v>
      </c>
      <c r="L6" s="42"/>
      <c r="M6" s="43"/>
      <c r="N6" s="43"/>
      <c r="O6" s="43"/>
      <c r="P6" s="43"/>
      <c r="Q6" s="43"/>
      <c r="R6" s="43"/>
      <c r="S6" s="43"/>
      <c r="T6" s="43"/>
      <c r="U6" s="45"/>
    </row>
    <row r="7" ht="15.75" customHeight="1">
      <c r="A7" s="33">
        <v>44279.0</v>
      </c>
      <c r="B7" s="35" t="s">
        <v>33</v>
      </c>
      <c r="C7" s="46" t="s">
        <v>30</v>
      </c>
      <c r="D7" s="35" t="s">
        <v>26</v>
      </c>
      <c r="E7" s="46" t="s">
        <v>27</v>
      </c>
      <c r="F7" s="46" t="s">
        <v>35</v>
      </c>
      <c r="G7" s="46" t="s">
        <v>35</v>
      </c>
      <c r="H7" s="39">
        <v>0.6</v>
      </c>
      <c r="I7" s="39">
        <v>4.3</v>
      </c>
      <c r="J7" s="39">
        <v>9.3</v>
      </c>
      <c r="K7" s="40">
        <v>0.11</v>
      </c>
      <c r="L7" s="42"/>
      <c r="M7" s="42"/>
      <c r="N7" s="42"/>
      <c r="O7" s="42"/>
      <c r="P7" s="50"/>
      <c r="Q7" s="50"/>
      <c r="R7" s="50"/>
      <c r="S7" s="50"/>
      <c r="T7" s="50"/>
      <c r="U7" s="51"/>
    </row>
    <row r="8" ht="15.75" customHeight="1">
      <c r="A8" s="53">
        <v>44554.0</v>
      </c>
      <c r="B8" s="55" t="s">
        <v>33</v>
      </c>
      <c r="C8" s="55" t="s">
        <v>37</v>
      </c>
      <c r="D8" s="55" t="s">
        <v>38</v>
      </c>
      <c r="E8" s="55" t="s">
        <v>27</v>
      </c>
      <c r="F8" s="55" t="s">
        <v>39</v>
      </c>
      <c r="G8" s="55" t="s">
        <v>40</v>
      </c>
      <c r="H8" s="56">
        <v>1.1</v>
      </c>
      <c r="I8" s="56">
        <v>5.7</v>
      </c>
      <c r="J8" s="56">
        <v>8.5</v>
      </c>
      <c r="K8" s="57">
        <v>0.159</v>
      </c>
      <c r="L8" s="42"/>
      <c r="M8" s="43"/>
      <c r="N8" s="43"/>
      <c r="O8" s="43"/>
      <c r="P8" s="43"/>
      <c r="Q8" s="43"/>
      <c r="R8" s="43"/>
      <c r="S8" s="43"/>
      <c r="T8" s="43"/>
      <c r="U8" s="45"/>
    </row>
    <row r="9" ht="15.75" customHeight="1">
      <c r="A9" s="60" t="s">
        <v>43</v>
      </c>
      <c r="B9" s="62"/>
      <c r="H9" s="71">
        <f t="shared" ref="H9:K9" si="1">(H6+H7+H8)/3</f>
        <v>2.1</v>
      </c>
      <c r="I9" s="71">
        <f t="shared" si="1"/>
        <v>9.233333333</v>
      </c>
      <c r="J9" s="71">
        <f t="shared" si="1"/>
        <v>17.26666667</v>
      </c>
      <c r="K9" s="40">
        <f t="shared" si="1"/>
        <v>0.1496666667</v>
      </c>
      <c r="L9" s="42"/>
      <c r="M9" s="42"/>
      <c r="N9" s="42"/>
      <c r="O9" s="42"/>
      <c r="P9" s="50"/>
      <c r="Q9" s="50"/>
      <c r="R9" s="50"/>
      <c r="S9" s="50"/>
      <c r="T9" s="50"/>
      <c r="U9" s="51"/>
    </row>
    <row r="10" ht="15.75" customHeight="1">
      <c r="A10" s="60" t="s">
        <v>62</v>
      </c>
      <c r="B10" s="62"/>
      <c r="H10" s="71">
        <f t="shared" ref="H10:I10" si="2">H8</f>
        <v>1.1</v>
      </c>
      <c r="I10" s="71">
        <f t="shared" si="2"/>
        <v>5.7</v>
      </c>
      <c r="J10" s="71">
        <f>J7</f>
        <v>9.3</v>
      </c>
      <c r="K10" s="40">
        <f>K8</f>
        <v>0.159</v>
      </c>
      <c r="L10" s="42"/>
      <c r="M10" s="42"/>
      <c r="N10" s="42"/>
      <c r="O10" s="42"/>
      <c r="P10" s="50"/>
      <c r="Q10" s="50"/>
      <c r="R10" s="50"/>
      <c r="S10" s="50"/>
      <c r="T10" s="50"/>
      <c r="U10" s="51"/>
    </row>
    <row r="11" ht="15.75" customHeight="1">
      <c r="A11" s="60" t="s">
        <v>67</v>
      </c>
      <c r="B11" s="62"/>
      <c r="H11" s="71">
        <f t="shared" ref="H11:K11" si="3">H6</f>
        <v>4.6</v>
      </c>
      <c r="I11" s="71">
        <f t="shared" si="3"/>
        <v>17.7</v>
      </c>
      <c r="J11" s="71">
        <f t="shared" si="3"/>
        <v>34</v>
      </c>
      <c r="K11" s="40">
        <f t="shared" si="3"/>
        <v>0.18</v>
      </c>
      <c r="L11" s="42"/>
      <c r="M11" s="42"/>
      <c r="N11" s="42"/>
      <c r="O11" s="42"/>
      <c r="P11" s="50"/>
      <c r="Q11" s="50"/>
      <c r="R11" s="50"/>
      <c r="S11" s="50"/>
      <c r="T11" s="50"/>
      <c r="U11" s="51"/>
    </row>
    <row r="12" ht="15.75" customHeight="1">
      <c r="A12" s="86" t="s">
        <v>70</v>
      </c>
      <c r="B12" s="88"/>
      <c r="C12" s="6"/>
      <c r="D12" s="6"/>
      <c r="E12" s="6"/>
      <c r="F12" s="6"/>
      <c r="G12" s="6"/>
      <c r="H12" s="93">
        <f t="shared" ref="H12:I12" si="4">H7</f>
        <v>0.6</v>
      </c>
      <c r="I12" s="93">
        <f t="shared" si="4"/>
        <v>4.3</v>
      </c>
      <c r="J12" s="93">
        <f>J8</f>
        <v>8.5</v>
      </c>
      <c r="K12" s="57">
        <f>K7</f>
        <v>0.11</v>
      </c>
      <c r="L12" s="42"/>
      <c r="M12" s="42"/>
      <c r="N12" s="42"/>
      <c r="O12" s="42"/>
      <c r="P12" s="50"/>
      <c r="Q12" s="50"/>
      <c r="R12" s="50"/>
      <c r="S12" s="50"/>
      <c r="T12" s="50"/>
      <c r="U12" s="51"/>
    </row>
    <row r="13" ht="15.75" customHeight="1"/>
    <row r="14" ht="15.75" customHeight="1">
      <c r="A14" s="1" t="s">
        <v>78</v>
      </c>
      <c r="B14" s="2"/>
      <c r="C14" s="2"/>
      <c r="D14" s="3"/>
      <c r="E14" s="4"/>
      <c r="F14" s="4"/>
      <c r="G14" s="4"/>
      <c r="H14" s="4"/>
    </row>
    <row r="15" ht="15.75" customHeight="1">
      <c r="A15" s="97" t="s">
        <v>79</v>
      </c>
      <c r="D15" s="70"/>
      <c r="E15" s="98"/>
      <c r="F15" s="98"/>
      <c r="G15" s="98"/>
      <c r="H15" s="98"/>
    </row>
    <row r="16" ht="15.75" customHeight="1">
      <c r="A16" s="99" t="s">
        <v>82</v>
      </c>
      <c r="B16" s="6"/>
      <c r="C16" s="6"/>
      <c r="D16" s="7"/>
      <c r="E16" s="52"/>
      <c r="F16" s="52"/>
      <c r="G16" s="52"/>
      <c r="H16" s="52"/>
    </row>
    <row r="17" ht="15.75" customHeight="1"/>
    <row r="18" ht="15.75" customHeight="1">
      <c r="A18" s="102" t="s">
        <v>85</v>
      </c>
      <c r="B18" s="104" t="s">
        <v>86</v>
      </c>
      <c r="C18" s="106" t="s">
        <v>87</v>
      </c>
      <c r="D18" s="108" t="s">
        <v>89</v>
      </c>
      <c r="E18" s="109"/>
      <c r="F18" s="110"/>
      <c r="G18" s="111"/>
      <c r="H18" s="110"/>
    </row>
    <row r="19" ht="15.75" customHeight="1">
      <c r="A19" s="114" t="s">
        <v>92</v>
      </c>
      <c r="B19" s="116">
        <v>16147.9</v>
      </c>
      <c r="C19" s="117" t="s">
        <v>94</v>
      </c>
      <c r="D19" s="118" t="s">
        <v>95</v>
      </c>
      <c r="E19" s="119"/>
      <c r="F19" s="121"/>
      <c r="G19" s="122"/>
      <c r="H19" s="121"/>
    </row>
    <row r="20" ht="15.75" customHeight="1">
      <c r="A20" s="45"/>
      <c r="B20" s="124"/>
      <c r="C20" s="45"/>
      <c r="D20" s="45"/>
      <c r="E20" s="124"/>
      <c r="F20" s="45"/>
      <c r="G20" s="125"/>
      <c r="H20" s="45"/>
    </row>
    <row r="21" ht="15.75" customHeight="1"/>
    <row r="22" ht="15.75" customHeight="1"/>
    <row r="23" ht="15.75" customHeight="1"/>
    <row r="24" ht="15.75" customHeight="1">
      <c r="A24" s="95"/>
      <c r="B24" s="95"/>
      <c r="C24" s="95"/>
      <c r="D24" s="95"/>
      <c r="E24" s="95"/>
      <c r="F24" s="95"/>
    </row>
    <row r="25" ht="15.75" customHeight="1">
      <c r="A25" s="95"/>
      <c r="B25" s="95"/>
      <c r="C25" s="95"/>
      <c r="D25" s="95"/>
      <c r="E25" s="95"/>
      <c r="F25" s="95"/>
    </row>
    <row r="26" ht="15.75" customHeight="1">
      <c r="A26" s="95"/>
      <c r="B26" s="95"/>
      <c r="C26" s="95"/>
      <c r="D26" s="95"/>
      <c r="E26" s="95"/>
      <c r="F26" s="95"/>
    </row>
    <row r="27" ht="15.75" customHeight="1">
      <c r="A27" s="95"/>
      <c r="B27" s="95"/>
      <c r="C27" s="95"/>
      <c r="D27" s="95"/>
      <c r="E27" s="95"/>
      <c r="F27" s="95"/>
    </row>
    <row r="28" ht="15.75" customHeight="1">
      <c r="A28" s="95"/>
      <c r="B28" s="95"/>
      <c r="C28" s="95"/>
      <c r="D28" s="95"/>
      <c r="E28" s="95"/>
      <c r="F28" s="95"/>
    </row>
    <row r="29" ht="15.75" customHeight="1">
      <c r="A29" s="95"/>
      <c r="B29" s="95"/>
      <c r="C29" s="95"/>
      <c r="D29" s="95"/>
      <c r="E29" s="95"/>
      <c r="F29" s="95"/>
    </row>
    <row r="30" ht="15.75" customHeight="1">
      <c r="A30" s="95"/>
      <c r="B30" s="95"/>
      <c r="C30" s="95"/>
      <c r="D30" s="95"/>
      <c r="E30" s="95"/>
      <c r="F30" s="95"/>
    </row>
    <row r="31" ht="15.75" customHeight="1">
      <c r="A31" s="95"/>
      <c r="B31" s="95"/>
      <c r="C31" s="95"/>
      <c r="D31" s="95"/>
      <c r="E31" s="95"/>
      <c r="F31" s="95"/>
    </row>
    <row r="32" ht="15.75" customHeight="1">
      <c r="A32" s="95"/>
      <c r="B32" s="95"/>
      <c r="C32" s="95"/>
      <c r="D32" s="95"/>
      <c r="E32" s="95"/>
      <c r="F32" s="95"/>
    </row>
    <row r="33" ht="15.75" customHeight="1">
      <c r="A33" s="95"/>
      <c r="B33" s="95"/>
      <c r="C33" s="95"/>
      <c r="D33" s="95"/>
      <c r="E33" s="95"/>
      <c r="F33" s="95"/>
    </row>
    <row r="34" ht="15.75" customHeight="1">
      <c r="A34" s="95"/>
      <c r="B34" s="95"/>
      <c r="C34" s="95"/>
      <c r="D34" s="95"/>
      <c r="E34" s="95"/>
      <c r="F34" s="95"/>
    </row>
    <row r="35" ht="15.75" customHeight="1">
      <c r="A35" s="95"/>
      <c r="B35" s="95"/>
      <c r="C35" s="95"/>
      <c r="D35" s="95"/>
      <c r="E35" s="95"/>
      <c r="F35" s="95"/>
    </row>
    <row r="36" ht="15.75" customHeight="1">
      <c r="A36" s="95"/>
      <c r="B36" s="95"/>
      <c r="C36" s="95"/>
      <c r="D36" s="95"/>
      <c r="E36" s="95"/>
      <c r="F36" s="95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4:D14"/>
    <mergeCell ref="A15:D15"/>
    <mergeCell ref="A16:D16"/>
    <mergeCell ref="A1:K1"/>
    <mergeCell ref="A2:K2"/>
    <mergeCell ref="H4:J4"/>
    <mergeCell ref="B9:G9"/>
    <mergeCell ref="B10:G10"/>
    <mergeCell ref="B11:G11"/>
    <mergeCell ref="B12:G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32.13"/>
    <col customWidth="1" min="3" max="3" width="5.25"/>
    <col customWidth="1" min="4" max="4" width="29.0"/>
    <col customWidth="1" min="5" max="5" width="12.63"/>
    <col customWidth="1" min="6" max="6" width="20.25"/>
    <col customWidth="1" min="7" max="7" width="22.5"/>
    <col customWidth="1" min="8" max="8" width="22.13"/>
    <col customWidth="1" min="9" max="9" width="5.38"/>
    <col customWidth="1" min="10" max="13" width="12.63"/>
    <col customWidth="1" min="14" max="14" width="13.75"/>
    <col customWidth="1" min="15" max="16" width="12.63"/>
  </cols>
  <sheetData>
    <row r="1" ht="15.75" customHeight="1">
      <c r="A1" s="10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</row>
    <row r="2" ht="15.75" customHeight="1">
      <c r="A2" s="18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8"/>
      <c r="P2" s="8"/>
    </row>
    <row r="3" ht="15.75" customHeight="1"/>
    <row r="4" ht="15.75" customHeight="1">
      <c r="A4" s="25" t="s">
        <v>13</v>
      </c>
      <c r="B4" s="27"/>
      <c r="D4" s="31" t="s">
        <v>21</v>
      </c>
      <c r="E4" s="2"/>
      <c r="F4" s="2"/>
      <c r="G4" s="2"/>
      <c r="H4" s="3"/>
      <c r="I4" s="34"/>
      <c r="J4" s="25" t="s">
        <v>23</v>
      </c>
      <c r="K4" s="37"/>
      <c r="L4" s="37"/>
      <c r="M4" s="37"/>
      <c r="N4" s="27"/>
      <c r="O4" s="34"/>
      <c r="P4" s="34"/>
    </row>
    <row r="5" ht="15.75" customHeight="1">
      <c r="A5" s="41" t="s">
        <v>10</v>
      </c>
      <c r="B5" s="44" t="s">
        <v>29</v>
      </c>
      <c r="D5" s="61" t="s">
        <v>34</v>
      </c>
      <c r="E5" s="6"/>
      <c r="F5" s="6"/>
      <c r="G5" s="6"/>
      <c r="H5" s="7"/>
      <c r="I5" s="52"/>
      <c r="J5" s="54" t="s">
        <v>44</v>
      </c>
      <c r="K5" s="2"/>
      <c r="L5" s="2"/>
      <c r="M5" s="2"/>
      <c r="N5" s="3"/>
      <c r="O5" s="34"/>
      <c r="P5" s="34"/>
    </row>
    <row r="6" ht="15.75" customHeight="1">
      <c r="A6" s="58" t="s">
        <v>46</v>
      </c>
      <c r="B6" s="59" t="s">
        <v>47</v>
      </c>
      <c r="D6" s="63"/>
      <c r="E6" s="67" t="s">
        <v>48</v>
      </c>
      <c r="F6" s="67" t="s">
        <v>51</v>
      </c>
      <c r="G6" s="67" t="s">
        <v>53</v>
      </c>
      <c r="H6" s="64" t="s">
        <v>55</v>
      </c>
      <c r="I6" s="65"/>
      <c r="J6" s="69" t="s">
        <v>58</v>
      </c>
      <c r="N6" s="70"/>
      <c r="O6" s="34"/>
      <c r="P6" s="34"/>
    </row>
    <row r="7" ht="15.75" customHeight="1">
      <c r="A7" s="58" t="s">
        <v>41</v>
      </c>
      <c r="B7" s="59" t="s">
        <v>60</v>
      </c>
      <c r="D7" s="72" t="s">
        <v>56</v>
      </c>
      <c r="E7" s="77">
        <v>4750.0</v>
      </c>
      <c r="F7" s="77">
        <v>3510.0</v>
      </c>
      <c r="G7" s="77">
        <v>3705.0</v>
      </c>
      <c r="H7" s="73">
        <f t="shared" ref="H7:H8" si="1">E7+G7-F7</f>
        <v>4945</v>
      </c>
      <c r="I7" s="74"/>
      <c r="J7" s="80" t="s">
        <v>66</v>
      </c>
      <c r="K7" s="6"/>
      <c r="L7" s="6"/>
      <c r="M7" s="6"/>
      <c r="N7" s="7"/>
      <c r="O7" s="34"/>
      <c r="P7" s="34"/>
    </row>
    <row r="8" ht="15.75" customHeight="1">
      <c r="A8" s="58" t="s">
        <v>54</v>
      </c>
      <c r="B8" s="59" t="s">
        <v>39</v>
      </c>
      <c r="D8" s="82" t="s">
        <v>69</v>
      </c>
      <c r="E8" s="84">
        <v>3135.0</v>
      </c>
      <c r="F8" s="84">
        <v>2316.6</v>
      </c>
      <c r="G8" s="84">
        <v>2445.3</v>
      </c>
      <c r="H8" s="89">
        <f t="shared" si="1"/>
        <v>3263.7</v>
      </c>
      <c r="I8" s="85"/>
      <c r="J8" s="91"/>
      <c r="K8" s="91"/>
      <c r="L8" s="91"/>
      <c r="M8" s="91"/>
      <c r="N8" s="91"/>
      <c r="O8" s="34"/>
      <c r="P8" s="34"/>
    </row>
    <row r="9" ht="15.75" customHeight="1">
      <c r="A9" s="72" t="s">
        <v>76</v>
      </c>
      <c r="B9" s="81">
        <v>46387.0</v>
      </c>
      <c r="D9" s="72" t="s">
        <v>77</v>
      </c>
      <c r="E9" s="77">
        <f t="shared" ref="E9:H9" si="2">E7-E8</f>
        <v>1615</v>
      </c>
      <c r="F9" s="77">
        <f t="shared" si="2"/>
        <v>1193.4</v>
      </c>
      <c r="G9" s="77">
        <f t="shared" si="2"/>
        <v>1259.7</v>
      </c>
      <c r="H9" s="73">
        <f t="shared" si="2"/>
        <v>1681.3</v>
      </c>
      <c r="I9" s="95"/>
      <c r="J9" s="31" t="s">
        <v>81</v>
      </c>
      <c r="K9" s="2"/>
      <c r="L9" s="2"/>
      <c r="M9" s="2"/>
      <c r="N9" s="3"/>
      <c r="O9" s="34"/>
      <c r="P9" s="34"/>
    </row>
    <row r="10" ht="15.75" customHeight="1">
      <c r="A10" s="58" t="s">
        <v>75</v>
      </c>
      <c r="B10" s="94">
        <v>0.24</v>
      </c>
      <c r="D10" s="58" t="s">
        <v>84</v>
      </c>
      <c r="E10" s="100">
        <v>1045.0</v>
      </c>
      <c r="F10" s="100">
        <v>772.2</v>
      </c>
      <c r="G10" s="100">
        <v>815.1</v>
      </c>
      <c r="H10" s="105">
        <f>E10+G10-F10</f>
        <v>1087.9</v>
      </c>
      <c r="I10" s="85"/>
      <c r="J10" s="54" t="s">
        <v>90</v>
      </c>
      <c r="K10" s="2"/>
      <c r="L10" s="2"/>
      <c r="M10" s="2"/>
      <c r="N10" s="3"/>
      <c r="O10" s="34"/>
      <c r="P10" s="34"/>
    </row>
    <row r="11" ht="15.75" customHeight="1">
      <c r="A11" s="58"/>
      <c r="B11" s="59"/>
      <c r="D11" s="82" t="s">
        <v>91</v>
      </c>
      <c r="E11" s="112" t="s">
        <v>72</v>
      </c>
      <c r="F11" s="112" t="s">
        <v>72</v>
      </c>
      <c r="G11" s="112" t="s">
        <v>72</v>
      </c>
      <c r="H11" s="115" t="s">
        <v>72</v>
      </c>
      <c r="I11" s="74"/>
      <c r="J11" s="69" t="s">
        <v>93</v>
      </c>
      <c r="N11" s="70"/>
      <c r="O11" s="34"/>
      <c r="P11" s="34"/>
    </row>
    <row r="12" ht="15.75" customHeight="1">
      <c r="A12" s="72" t="s">
        <v>9</v>
      </c>
      <c r="B12" s="120" t="s">
        <v>96</v>
      </c>
      <c r="D12" s="72" t="s">
        <v>97</v>
      </c>
      <c r="E12" s="77">
        <f t="shared" ref="E12:H12" si="3">E9-E10</f>
        <v>570</v>
      </c>
      <c r="F12" s="77">
        <f t="shared" si="3"/>
        <v>421.2</v>
      </c>
      <c r="G12" s="77">
        <f t="shared" si="3"/>
        <v>444.6</v>
      </c>
      <c r="H12" s="73">
        <f t="shared" si="3"/>
        <v>593.4</v>
      </c>
      <c r="I12" s="85"/>
      <c r="J12" s="79" t="s">
        <v>100</v>
      </c>
      <c r="N12" s="70"/>
      <c r="O12" s="34"/>
      <c r="P12" s="34"/>
    </row>
    <row r="13" ht="15.75" customHeight="1">
      <c r="A13" s="58" t="s">
        <v>102</v>
      </c>
      <c r="B13" s="127" t="s">
        <v>103</v>
      </c>
      <c r="D13" s="82" t="s">
        <v>105</v>
      </c>
      <c r="E13" s="84">
        <v>90.0</v>
      </c>
      <c r="F13" s="84">
        <v>67.5</v>
      </c>
      <c r="G13" s="84">
        <v>67.5</v>
      </c>
      <c r="H13" s="83">
        <f>E13+G13-F13</f>
        <v>90</v>
      </c>
      <c r="I13" s="85"/>
      <c r="J13" s="130" t="s">
        <v>109</v>
      </c>
      <c r="K13" s="6"/>
      <c r="L13" s="6"/>
      <c r="M13" s="6"/>
      <c r="N13" s="7"/>
      <c r="O13" s="34"/>
      <c r="P13" s="34"/>
    </row>
    <row r="14" ht="15.75" customHeight="1">
      <c r="A14" s="58" t="s">
        <v>54</v>
      </c>
      <c r="B14" s="59" t="s">
        <v>111</v>
      </c>
      <c r="D14" s="72" t="s">
        <v>112</v>
      </c>
      <c r="E14" s="77">
        <f t="shared" ref="E14:H14" si="4">E12-E13</f>
        <v>480</v>
      </c>
      <c r="F14" s="77">
        <f t="shared" si="4"/>
        <v>353.7</v>
      </c>
      <c r="G14" s="77">
        <f t="shared" si="4"/>
        <v>377.1</v>
      </c>
      <c r="H14" s="73">
        <f t="shared" si="4"/>
        <v>503.4</v>
      </c>
      <c r="I14" s="95"/>
      <c r="J14" s="95"/>
      <c r="L14" s="34"/>
      <c r="M14" s="34"/>
      <c r="N14" s="34"/>
      <c r="O14" s="34"/>
      <c r="P14" s="34"/>
    </row>
    <row r="15" ht="15.75" customHeight="1">
      <c r="A15" s="58" t="s">
        <v>108</v>
      </c>
      <c r="B15" s="128">
        <v>46387.0</v>
      </c>
      <c r="D15" s="58" t="s">
        <v>118</v>
      </c>
      <c r="E15" s="100">
        <f t="shared" ref="E15:H15" si="5">E14*$B$10</f>
        <v>115.2</v>
      </c>
      <c r="F15" s="100">
        <f t="shared" si="5"/>
        <v>84.888</v>
      </c>
      <c r="G15" s="100">
        <f t="shared" si="5"/>
        <v>90.504</v>
      </c>
      <c r="H15" s="105">
        <f t="shared" si="5"/>
        <v>120.816</v>
      </c>
      <c r="I15" s="85"/>
      <c r="J15" s="31" t="s">
        <v>122</v>
      </c>
      <c r="K15" s="2"/>
      <c r="L15" s="2"/>
      <c r="M15" s="2"/>
      <c r="N15" s="3"/>
      <c r="O15" s="34"/>
      <c r="P15" s="34"/>
    </row>
    <row r="16" ht="15.75" customHeight="1">
      <c r="A16" s="58"/>
      <c r="B16" s="59"/>
      <c r="D16" s="58" t="s">
        <v>123</v>
      </c>
      <c r="E16" s="139" t="s">
        <v>72</v>
      </c>
      <c r="F16" s="139" t="s">
        <v>72</v>
      </c>
      <c r="G16" s="139" t="s">
        <v>72</v>
      </c>
      <c r="H16" s="136" t="s">
        <v>72</v>
      </c>
      <c r="I16" s="85"/>
      <c r="J16" s="54" t="s">
        <v>126</v>
      </c>
      <c r="K16" s="2"/>
      <c r="L16" s="2"/>
      <c r="M16" s="2"/>
      <c r="N16" s="3"/>
      <c r="O16" s="34"/>
      <c r="P16" s="34"/>
    </row>
    <row r="17" ht="15.75" customHeight="1">
      <c r="A17" s="58" t="s">
        <v>8</v>
      </c>
      <c r="B17" s="133">
        <v>44525.0</v>
      </c>
      <c r="D17" s="82" t="s">
        <v>127</v>
      </c>
      <c r="E17" s="140" t="s">
        <v>72</v>
      </c>
      <c r="F17" s="140" t="s">
        <v>72</v>
      </c>
      <c r="G17" s="140" t="s">
        <v>72</v>
      </c>
      <c r="H17" s="141" t="s">
        <v>72</v>
      </c>
      <c r="I17" s="95"/>
      <c r="J17" s="69" t="s">
        <v>129</v>
      </c>
      <c r="N17" s="70"/>
      <c r="O17" s="34"/>
      <c r="P17" s="34"/>
    </row>
    <row r="18" ht="15.75" customHeight="1">
      <c r="A18" s="58" t="s">
        <v>121</v>
      </c>
      <c r="B18" s="142">
        <v>44545.0</v>
      </c>
      <c r="D18" s="72" t="s">
        <v>130</v>
      </c>
      <c r="E18" s="77">
        <f t="shared" ref="E18:H18" si="6">E14-E15</f>
        <v>364.8</v>
      </c>
      <c r="F18" s="77">
        <f t="shared" si="6"/>
        <v>268.812</v>
      </c>
      <c r="G18" s="77">
        <f t="shared" si="6"/>
        <v>286.596</v>
      </c>
      <c r="H18" s="73">
        <f t="shared" si="6"/>
        <v>382.584</v>
      </c>
      <c r="I18" s="143"/>
      <c r="J18" s="79" t="s">
        <v>135</v>
      </c>
      <c r="N18" s="70"/>
      <c r="O18" s="34"/>
      <c r="P18" s="34"/>
    </row>
    <row r="19" ht="15.75" customHeight="1">
      <c r="A19" s="58" t="s">
        <v>11</v>
      </c>
      <c r="B19" s="59" t="s">
        <v>26</v>
      </c>
      <c r="D19" s="144" t="s">
        <v>136</v>
      </c>
      <c r="E19" s="146">
        <f t="shared" ref="E19:H19" si="7">$B$10</f>
        <v>0.24</v>
      </c>
      <c r="F19" s="146">
        <f t="shared" si="7"/>
        <v>0.24</v>
      </c>
      <c r="G19" s="146">
        <f t="shared" si="7"/>
        <v>0.24</v>
      </c>
      <c r="H19" s="148">
        <f t="shared" si="7"/>
        <v>0.24</v>
      </c>
      <c r="J19" s="151" t="s">
        <v>142</v>
      </c>
      <c r="N19" s="70"/>
      <c r="O19" s="34"/>
      <c r="P19" s="34"/>
    </row>
    <row r="20" ht="15.75" customHeight="1">
      <c r="A20" s="58" t="s">
        <v>133</v>
      </c>
      <c r="B20" s="75" t="s">
        <v>145</v>
      </c>
      <c r="D20" s="58"/>
      <c r="E20" s="100"/>
      <c r="F20" s="100"/>
      <c r="G20" s="100"/>
      <c r="H20" s="105"/>
      <c r="I20" s="85"/>
      <c r="J20" s="152" t="s">
        <v>147</v>
      </c>
      <c r="N20" s="70"/>
      <c r="O20" s="34"/>
      <c r="P20" s="34"/>
    </row>
    <row r="21" ht="15.75" customHeight="1">
      <c r="A21" s="82" t="s">
        <v>12</v>
      </c>
      <c r="B21" s="145" t="s">
        <v>139</v>
      </c>
      <c r="D21" s="82" t="s">
        <v>149</v>
      </c>
      <c r="E21" s="84">
        <v>685.0</v>
      </c>
      <c r="F21" s="84">
        <v>685.0</v>
      </c>
      <c r="G21" s="84">
        <v>685.0</v>
      </c>
      <c r="H21" s="83">
        <v>685.0</v>
      </c>
      <c r="I21" s="95"/>
      <c r="J21" s="69" t="s">
        <v>151</v>
      </c>
      <c r="N21" s="70"/>
      <c r="O21" s="34"/>
      <c r="P21" s="34"/>
    </row>
    <row r="22" ht="15.75" customHeight="1">
      <c r="D22" s="154" t="s">
        <v>154</v>
      </c>
      <c r="E22" s="157">
        <f t="shared" ref="E22:H22" si="8">E18/E21</f>
        <v>0.5325547445</v>
      </c>
      <c r="F22" s="157">
        <f t="shared" si="8"/>
        <v>0.3924262774</v>
      </c>
      <c r="G22" s="157">
        <f t="shared" si="8"/>
        <v>0.4183883212</v>
      </c>
      <c r="H22" s="160">
        <f t="shared" si="8"/>
        <v>0.5585167883</v>
      </c>
      <c r="J22" s="161" t="s">
        <v>161</v>
      </c>
      <c r="K22" s="6"/>
      <c r="L22" s="6"/>
      <c r="M22" s="6"/>
      <c r="N22" s="7"/>
      <c r="O22" s="34"/>
      <c r="P22" s="34"/>
    </row>
    <row r="23" ht="15.75" customHeight="1">
      <c r="A23" s="31" t="s">
        <v>155</v>
      </c>
      <c r="B23" s="3"/>
      <c r="D23" s="159" t="s">
        <v>159</v>
      </c>
      <c r="J23" s="163"/>
      <c r="K23" s="163"/>
      <c r="L23" s="163"/>
      <c r="M23" s="163"/>
      <c r="N23" s="163"/>
      <c r="O23" s="34"/>
      <c r="P23" s="34"/>
    </row>
    <row r="24" ht="15.75" customHeight="1">
      <c r="A24" s="167" t="s">
        <v>34</v>
      </c>
      <c r="B24" s="70"/>
      <c r="D24" s="159" t="s">
        <v>169</v>
      </c>
      <c r="L24" s="34"/>
      <c r="M24" s="34"/>
      <c r="N24" s="34"/>
      <c r="O24" s="34"/>
      <c r="P24" s="34"/>
    </row>
    <row r="25" ht="15.75" customHeight="1">
      <c r="A25" s="63" t="s">
        <v>173</v>
      </c>
      <c r="B25" s="168">
        <v>33.43</v>
      </c>
      <c r="D25" s="159" t="s">
        <v>175</v>
      </c>
      <c r="L25" s="34"/>
      <c r="M25" s="34"/>
      <c r="N25" s="34"/>
      <c r="O25" s="34"/>
      <c r="P25" s="34"/>
    </row>
    <row r="26" ht="15.75" customHeight="1">
      <c r="A26" s="58" t="s">
        <v>164</v>
      </c>
      <c r="B26" s="165" t="s">
        <v>72</v>
      </c>
      <c r="D26" s="159" t="s">
        <v>177</v>
      </c>
      <c r="L26" s="34"/>
      <c r="M26" s="34"/>
      <c r="N26" s="34"/>
      <c r="O26" s="34"/>
      <c r="P26" s="34"/>
    </row>
    <row r="27" ht="15.75" customHeight="1">
      <c r="A27" s="58" t="s">
        <v>167</v>
      </c>
      <c r="B27" s="165" t="s">
        <v>72</v>
      </c>
      <c r="D27" s="159" t="s">
        <v>179</v>
      </c>
      <c r="L27" s="34"/>
      <c r="M27" s="34"/>
      <c r="N27" s="34"/>
      <c r="O27" s="34"/>
      <c r="P27" s="34"/>
    </row>
    <row r="28" ht="15.75" customHeight="1">
      <c r="A28" s="82" t="s">
        <v>170</v>
      </c>
      <c r="B28" s="115" t="s">
        <v>72</v>
      </c>
      <c r="D28" s="159" t="s">
        <v>181</v>
      </c>
      <c r="L28" s="34"/>
      <c r="M28" s="34"/>
      <c r="N28" s="34"/>
      <c r="O28" s="34"/>
      <c r="P28" s="34"/>
    </row>
    <row r="29" ht="15.75" customHeight="1">
      <c r="A29" s="72" t="s">
        <v>174</v>
      </c>
      <c r="B29" s="73">
        <f>B25</f>
        <v>33.43</v>
      </c>
      <c r="D29" s="159" t="s">
        <v>187</v>
      </c>
      <c r="L29" s="34"/>
      <c r="M29" s="34"/>
      <c r="N29" s="34"/>
      <c r="O29" s="34"/>
      <c r="P29" s="34"/>
    </row>
    <row r="30" ht="15.75" customHeight="1">
      <c r="A30" s="58"/>
      <c r="B30" s="103"/>
      <c r="D30" s="159" t="s">
        <v>188</v>
      </c>
      <c r="L30" s="34"/>
      <c r="M30" s="34"/>
      <c r="N30" s="34"/>
      <c r="O30" s="34"/>
      <c r="P30" s="34"/>
    </row>
    <row r="31" ht="15.75" customHeight="1">
      <c r="A31" s="171" t="s">
        <v>192</v>
      </c>
      <c r="B31" s="83">
        <v>685.0</v>
      </c>
      <c r="L31" s="34"/>
      <c r="M31" s="34"/>
      <c r="N31" s="34"/>
      <c r="O31" s="34"/>
      <c r="P31" s="34"/>
    </row>
    <row r="32" ht="15.75" customHeight="1">
      <c r="A32" s="72" t="s">
        <v>195</v>
      </c>
      <c r="B32" s="73">
        <f>B29*B31</f>
        <v>22899.55</v>
      </c>
      <c r="D32" s="31" t="s">
        <v>24</v>
      </c>
      <c r="E32" s="2"/>
      <c r="F32" s="2"/>
      <c r="G32" s="2"/>
      <c r="H32" s="3"/>
      <c r="L32" s="34"/>
      <c r="M32" s="34"/>
      <c r="N32" s="34"/>
      <c r="O32" s="34"/>
      <c r="P32" s="34"/>
    </row>
    <row r="33" ht="15.75" customHeight="1">
      <c r="A33" s="58"/>
      <c r="B33" s="103"/>
      <c r="C33" s="176"/>
      <c r="D33" s="61" t="s">
        <v>34</v>
      </c>
      <c r="E33" s="6"/>
      <c r="F33" s="6"/>
      <c r="G33" s="6"/>
      <c r="H33" s="7"/>
      <c r="L33" s="34"/>
      <c r="M33" s="34"/>
      <c r="N33" s="34"/>
      <c r="O33" s="34"/>
      <c r="P33" s="34"/>
    </row>
    <row r="34" ht="15.75" customHeight="1">
      <c r="A34" s="58" t="s">
        <v>210</v>
      </c>
      <c r="B34" s="165" t="s">
        <v>72</v>
      </c>
      <c r="C34" s="153"/>
      <c r="D34" s="63"/>
      <c r="E34" s="67" t="s">
        <v>48</v>
      </c>
      <c r="F34" s="67" t="s">
        <v>51</v>
      </c>
      <c r="G34" s="67" t="s">
        <v>53</v>
      </c>
      <c r="H34" s="64" t="s">
        <v>202</v>
      </c>
      <c r="L34" s="34"/>
      <c r="M34" s="34"/>
      <c r="N34" s="34"/>
      <c r="O34" s="34"/>
      <c r="P34" s="34"/>
    </row>
    <row r="35" ht="15.75" customHeight="1">
      <c r="A35" s="58" t="s">
        <v>212</v>
      </c>
      <c r="B35" s="165" t="s">
        <v>72</v>
      </c>
      <c r="C35" s="153"/>
      <c r="D35" s="58" t="s">
        <v>61</v>
      </c>
      <c r="E35" s="178">
        <f t="shared" ref="E35:H35" si="9">E9</f>
        <v>1615</v>
      </c>
      <c r="F35" s="178">
        <f t="shared" si="9"/>
        <v>1193.4</v>
      </c>
      <c r="G35" s="178">
        <f t="shared" si="9"/>
        <v>1259.7</v>
      </c>
      <c r="H35" s="179">
        <f t="shared" si="9"/>
        <v>1681.3</v>
      </c>
      <c r="L35" s="34"/>
      <c r="M35" s="34"/>
      <c r="N35" s="34"/>
      <c r="O35" s="34"/>
      <c r="P35" s="34"/>
    </row>
    <row r="36" ht="15.75" customHeight="1">
      <c r="A36" s="58" t="s">
        <v>204</v>
      </c>
      <c r="B36" s="165" t="s">
        <v>72</v>
      </c>
      <c r="C36" s="153"/>
      <c r="D36" s="82" t="s">
        <v>71</v>
      </c>
      <c r="E36" s="181" t="s">
        <v>72</v>
      </c>
      <c r="F36" s="181" t="s">
        <v>72</v>
      </c>
      <c r="G36" s="181" t="s">
        <v>72</v>
      </c>
      <c r="H36" s="145" t="s">
        <v>72</v>
      </c>
      <c r="L36" s="34"/>
      <c r="M36" s="34"/>
      <c r="N36" s="34"/>
      <c r="O36" s="34"/>
      <c r="P36" s="34"/>
    </row>
    <row r="37" ht="15.75" customHeight="1">
      <c r="A37" s="82" t="s">
        <v>218</v>
      </c>
      <c r="B37" s="115" t="s">
        <v>72</v>
      </c>
      <c r="C37" s="153"/>
      <c r="D37" s="72" t="s">
        <v>80</v>
      </c>
      <c r="E37" s="77">
        <f t="shared" ref="E37:H37" si="10">E35</f>
        <v>1615</v>
      </c>
      <c r="F37" s="77">
        <f t="shared" si="10"/>
        <v>1193.4</v>
      </c>
      <c r="G37" s="77">
        <f t="shared" si="10"/>
        <v>1259.7</v>
      </c>
      <c r="H37" s="73">
        <f t="shared" si="10"/>
        <v>1681.3</v>
      </c>
      <c r="L37" s="34"/>
      <c r="M37" s="34"/>
      <c r="N37" s="34"/>
      <c r="O37" s="34"/>
      <c r="P37" s="34"/>
    </row>
    <row r="38" ht="15.75" customHeight="1">
      <c r="A38" s="154" t="s">
        <v>220</v>
      </c>
      <c r="B38" s="160">
        <f>B32</f>
        <v>22899.55</v>
      </c>
      <c r="C38" s="153"/>
      <c r="D38" s="144" t="s">
        <v>88</v>
      </c>
      <c r="E38" s="146">
        <f t="shared" ref="E38:H38" si="11">E37/E7</f>
        <v>0.34</v>
      </c>
      <c r="F38" s="146">
        <f t="shared" si="11"/>
        <v>0.34</v>
      </c>
      <c r="G38" s="146">
        <f t="shared" si="11"/>
        <v>0.34</v>
      </c>
      <c r="H38" s="148">
        <f t="shared" si="11"/>
        <v>0.34</v>
      </c>
      <c r="L38" s="34"/>
      <c r="M38" s="34"/>
      <c r="N38" s="34"/>
      <c r="O38" s="34"/>
      <c r="P38" s="34"/>
    </row>
    <row r="39" ht="15.75" customHeight="1">
      <c r="A39" s="169" t="s">
        <v>159</v>
      </c>
      <c r="C39" s="153"/>
      <c r="D39" s="58"/>
      <c r="E39" s="186"/>
      <c r="F39" s="186"/>
      <c r="G39" s="186"/>
      <c r="H39" s="103"/>
      <c r="L39" s="34"/>
      <c r="M39" s="34"/>
      <c r="N39" s="34"/>
      <c r="O39" s="34"/>
      <c r="P39" s="34"/>
    </row>
    <row r="40" ht="15.75" customHeight="1">
      <c r="A40" s="169" t="s">
        <v>227</v>
      </c>
      <c r="C40" s="153"/>
      <c r="D40" s="58" t="s">
        <v>104</v>
      </c>
      <c r="E40" s="178">
        <f t="shared" ref="E40:H40" si="12">E12</f>
        <v>570</v>
      </c>
      <c r="F40" s="178">
        <f t="shared" si="12"/>
        <v>421.2</v>
      </c>
      <c r="G40" s="178">
        <f t="shared" si="12"/>
        <v>444.6</v>
      </c>
      <c r="H40" s="179">
        <f t="shared" si="12"/>
        <v>593.4</v>
      </c>
      <c r="L40" s="34"/>
      <c r="M40" s="34"/>
      <c r="N40" s="34"/>
      <c r="O40" s="34"/>
      <c r="P40" s="34"/>
    </row>
    <row r="41" ht="15.75" customHeight="1">
      <c r="A41" s="169" t="s">
        <v>232</v>
      </c>
      <c r="C41" s="153"/>
      <c r="D41" s="58" t="s">
        <v>71</v>
      </c>
      <c r="E41" s="190" t="s">
        <v>72</v>
      </c>
      <c r="F41" s="190" t="s">
        <v>72</v>
      </c>
      <c r="G41" s="190" t="s">
        <v>72</v>
      </c>
      <c r="H41" s="59" t="s">
        <v>72</v>
      </c>
      <c r="L41" s="34"/>
      <c r="M41" s="34"/>
      <c r="N41" s="34"/>
      <c r="O41" s="34"/>
      <c r="P41" s="34"/>
    </row>
    <row r="42" ht="15.75" customHeight="1">
      <c r="A42" s="169" t="s">
        <v>233</v>
      </c>
      <c r="C42" s="153"/>
      <c r="D42" s="58" t="s">
        <v>234</v>
      </c>
      <c r="E42" s="190" t="s">
        <v>72</v>
      </c>
      <c r="F42" s="190" t="s">
        <v>72</v>
      </c>
      <c r="G42" s="100">
        <v>35.0</v>
      </c>
      <c r="H42" s="105">
        <v>35.0</v>
      </c>
      <c r="L42" s="34"/>
      <c r="M42" s="34"/>
      <c r="N42" s="34"/>
      <c r="O42" s="34"/>
      <c r="P42" s="34"/>
    </row>
    <row r="43" ht="15.75" customHeight="1">
      <c r="A43" s="169" t="s">
        <v>236</v>
      </c>
      <c r="C43" s="176"/>
      <c r="D43" s="171" t="s">
        <v>239</v>
      </c>
      <c r="E43" s="84">
        <v>25.0</v>
      </c>
      <c r="F43" s="140" t="s">
        <v>72</v>
      </c>
      <c r="G43" s="84">
        <v>20.0</v>
      </c>
      <c r="H43" s="83">
        <f>E43+G43</f>
        <v>45</v>
      </c>
      <c r="L43" s="34"/>
      <c r="M43" s="34"/>
      <c r="N43" s="34"/>
      <c r="O43" s="34"/>
      <c r="P43" s="34"/>
    </row>
    <row r="44" ht="15.75" customHeight="1">
      <c r="A44" s="169" t="s">
        <v>244</v>
      </c>
      <c r="C44" s="176"/>
      <c r="D44" s="72" t="s">
        <v>124</v>
      </c>
      <c r="E44" s="77">
        <f>E40+E43</f>
        <v>595</v>
      </c>
      <c r="F44" s="77">
        <f>F40</f>
        <v>421.2</v>
      </c>
      <c r="G44" s="77">
        <f t="shared" ref="G44:H44" si="13">G40+G42+G43</f>
        <v>499.6</v>
      </c>
      <c r="H44" s="73">
        <f t="shared" si="13"/>
        <v>673.4</v>
      </c>
    </row>
    <row r="45" ht="15.75" customHeight="1">
      <c r="A45" s="169" t="s">
        <v>250</v>
      </c>
      <c r="C45" s="176"/>
      <c r="D45" s="144" t="s">
        <v>88</v>
      </c>
      <c r="E45" s="146">
        <f t="shared" ref="E45:H45" si="14">E44/E7</f>
        <v>0.1252631579</v>
      </c>
      <c r="F45" s="146">
        <f t="shared" si="14"/>
        <v>0.12</v>
      </c>
      <c r="G45" s="146">
        <f t="shared" si="14"/>
        <v>0.1348448043</v>
      </c>
      <c r="H45" s="148">
        <f t="shared" si="14"/>
        <v>0.1361779575</v>
      </c>
    </row>
    <row r="46" ht="15.75" customHeight="1">
      <c r="A46" s="169" t="s">
        <v>253</v>
      </c>
      <c r="D46" s="196"/>
      <c r="E46" s="197"/>
      <c r="F46" s="197"/>
      <c r="G46" s="197"/>
      <c r="H46" s="199"/>
      <c r="I46" s="34"/>
      <c r="J46" s="34"/>
    </row>
    <row r="47" ht="15.75" customHeight="1">
      <c r="A47" s="169" t="s">
        <v>257</v>
      </c>
      <c r="D47" s="201" t="s">
        <v>143</v>
      </c>
      <c r="E47" s="202">
        <v>210.0</v>
      </c>
      <c r="F47" s="202">
        <v>157.5</v>
      </c>
      <c r="G47" s="202">
        <v>162.0</v>
      </c>
      <c r="H47" s="204">
        <f>E47+G47-F47</f>
        <v>214.5</v>
      </c>
      <c r="I47" s="34"/>
      <c r="J47" s="34"/>
    </row>
    <row r="48" ht="15.75" customHeight="1">
      <c r="A48" s="169" t="s">
        <v>264</v>
      </c>
      <c r="D48" s="206" t="s">
        <v>146</v>
      </c>
      <c r="E48" s="208">
        <f t="shared" ref="E48:H48" si="15">E44+E47</f>
        <v>805</v>
      </c>
      <c r="F48" s="208">
        <f t="shared" si="15"/>
        <v>578.7</v>
      </c>
      <c r="G48" s="208">
        <f t="shared" si="15"/>
        <v>661.6</v>
      </c>
      <c r="H48" s="209">
        <f t="shared" si="15"/>
        <v>887.9</v>
      </c>
      <c r="I48" s="34"/>
      <c r="J48" s="34"/>
    </row>
    <row r="49" ht="15.75" customHeight="1">
      <c r="A49" s="169" t="s">
        <v>271</v>
      </c>
      <c r="D49" s="144" t="s">
        <v>88</v>
      </c>
      <c r="E49" s="210">
        <f t="shared" ref="E49:H49" si="16">E48/E7</f>
        <v>0.1694736842</v>
      </c>
      <c r="F49" s="210">
        <f t="shared" si="16"/>
        <v>0.1648717949</v>
      </c>
      <c r="G49" s="210">
        <f t="shared" si="16"/>
        <v>0.1785695007</v>
      </c>
      <c r="H49" s="200">
        <f t="shared" si="16"/>
        <v>0.1795551062</v>
      </c>
      <c r="I49" s="34"/>
      <c r="J49" s="34"/>
    </row>
    <row r="50" ht="15.75" customHeight="1">
      <c r="A50" s="169" t="s">
        <v>279</v>
      </c>
      <c r="D50" s="196"/>
      <c r="E50" s="197"/>
      <c r="F50" s="197"/>
      <c r="G50" s="197"/>
      <c r="H50" s="199"/>
      <c r="I50" s="34"/>
      <c r="J50" s="34"/>
    </row>
    <row r="51" ht="15.75" customHeight="1">
      <c r="A51" s="169" t="s">
        <v>283</v>
      </c>
      <c r="D51" s="203" t="s">
        <v>176</v>
      </c>
      <c r="E51" s="212">
        <f t="shared" ref="E51:H51" si="17">E18</f>
        <v>364.8</v>
      </c>
      <c r="F51" s="212">
        <f t="shared" si="17"/>
        <v>268.812</v>
      </c>
      <c r="G51" s="212">
        <f t="shared" si="17"/>
        <v>286.596</v>
      </c>
      <c r="H51" s="195">
        <f t="shared" si="17"/>
        <v>382.584</v>
      </c>
      <c r="I51" s="34"/>
      <c r="J51" s="34"/>
    </row>
    <row r="52" ht="15.75" customHeight="1">
      <c r="A52" s="169" t="s">
        <v>287</v>
      </c>
      <c r="D52" s="58" t="s">
        <v>71</v>
      </c>
      <c r="E52" s="190" t="s">
        <v>72</v>
      </c>
      <c r="F52" s="190" t="s">
        <v>72</v>
      </c>
      <c r="G52" s="190" t="s">
        <v>72</v>
      </c>
      <c r="H52" s="59" t="s">
        <v>72</v>
      </c>
      <c r="I52" s="34"/>
      <c r="J52" s="34"/>
    </row>
    <row r="53" ht="15.75" customHeight="1">
      <c r="A53" s="169" t="s">
        <v>290</v>
      </c>
      <c r="D53" s="194" t="s">
        <v>190</v>
      </c>
      <c r="E53" s="214">
        <v>25.0</v>
      </c>
      <c r="F53" s="190" t="s">
        <v>72</v>
      </c>
      <c r="G53" s="214">
        <v>55.0</v>
      </c>
      <c r="H53" s="215">
        <f>E53+G53</f>
        <v>80</v>
      </c>
      <c r="I53" s="34"/>
      <c r="J53" s="34"/>
    </row>
    <row r="54" ht="15.75" customHeight="1">
      <c r="A54" s="169"/>
      <c r="B54" s="169"/>
      <c r="D54" s="203" t="s">
        <v>197</v>
      </c>
      <c r="E54" s="190" t="s">
        <v>72</v>
      </c>
      <c r="F54" s="190" t="s">
        <v>72</v>
      </c>
      <c r="G54" s="190" t="s">
        <v>72</v>
      </c>
      <c r="H54" s="59" t="s">
        <v>72</v>
      </c>
      <c r="I54" s="34"/>
      <c r="J54" s="34"/>
    </row>
    <row r="55" ht="15.75" customHeight="1">
      <c r="A55" s="31" t="s">
        <v>289</v>
      </c>
      <c r="B55" s="3"/>
      <c r="D55" s="201" t="s">
        <v>294</v>
      </c>
      <c r="E55" s="202">
        <v>-6.0</v>
      </c>
      <c r="F55" s="181" t="s">
        <v>72</v>
      </c>
      <c r="G55" s="202">
        <v>-13.2</v>
      </c>
      <c r="H55" s="204">
        <f>E55+G55</f>
        <v>-19.2</v>
      </c>
      <c r="I55" s="34"/>
      <c r="J55" s="34"/>
    </row>
    <row r="56" ht="15.75" customHeight="1">
      <c r="A56" s="167" t="s">
        <v>34</v>
      </c>
      <c r="B56" s="70"/>
      <c r="D56" s="206" t="s">
        <v>209</v>
      </c>
      <c r="E56" s="208">
        <f>E51+E53+E55</f>
        <v>383.8</v>
      </c>
      <c r="F56" s="208">
        <f>F51</f>
        <v>268.812</v>
      </c>
      <c r="G56" s="208">
        <f>G51+G53+G55</f>
        <v>328.396</v>
      </c>
      <c r="H56" s="209">
        <f>E56+G56-F56</f>
        <v>443.384</v>
      </c>
      <c r="I56" s="34"/>
      <c r="J56" s="34"/>
    </row>
    <row r="57" ht="15.75" customHeight="1">
      <c r="A57" s="41" t="s">
        <v>300</v>
      </c>
      <c r="B57" s="217">
        <f>B38/B58</f>
        <v>4.630849343</v>
      </c>
      <c r="D57" s="144" t="s">
        <v>88</v>
      </c>
      <c r="E57" s="210">
        <f t="shared" ref="E57:H57" si="18">E56/E7</f>
        <v>0.0808</v>
      </c>
      <c r="F57" s="210">
        <f t="shared" si="18"/>
        <v>0.07658461538</v>
      </c>
      <c r="G57" s="210">
        <f t="shared" si="18"/>
        <v>0.08863589744</v>
      </c>
      <c r="H57" s="200">
        <f t="shared" si="18"/>
        <v>0.08966309403</v>
      </c>
      <c r="I57" s="34"/>
      <c r="J57" s="34"/>
    </row>
    <row r="58" ht="15.75" customHeight="1">
      <c r="A58" s="58" t="s">
        <v>297</v>
      </c>
      <c r="B58" s="179">
        <f>H7</f>
        <v>4945</v>
      </c>
      <c r="D58" s="220"/>
      <c r="E58" s="221"/>
      <c r="F58" s="221"/>
      <c r="G58" s="221"/>
      <c r="H58" s="222"/>
      <c r="I58" s="34"/>
      <c r="J58" s="34"/>
    </row>
    <row r="59" ht="15.75" customHeight="1">
      <c r="A59" s="218" t="s">
        <v>304</v>
      </c>
      <c r="B59" s="219">
        <f>B38/B60</f>
        <v>17.72548185</v>
      </c>
      <c r="D59" s="223" t="s">
        <v>225</v>
      </c>
      <c r="E59" s="227">
        <f t="shared" ref="E59:H59" si="19">E56/E21</f>
        <v>0.5602919708</v>
      </c>
      <c r="F59" s="227">
        <f t="shared" si="19"/>
        <v>0.3924262774</v>
      </c>
      <c r="G59" s="227">
        <f t="shared" si="19"/>
        <v>0.479410219</v>
      </c>
      <c r="H59" s="229">
        <f t="shared" si="19"/>
        <v>0.6472759124</v>
      </c>
      <c r="I59" s="34"/>
      <c r="J59" s="34"/>
    </row>
    <row r="60" ht="15.75" customHeight="1">
      <c r="A60" s="58" t="s">
        <v>297</v>
      </c>
      <c r="B60" s="179">
        <f>H48+404</f>
        <v>1291.9</v>
      </c>
      <c r="D60" s="226" t="s">
        <v>159</v>
      </c>
      <c r="I60" s="34"/>
      <c r="J60" s="34"/>
    </row>
    <row r="61" ht="15.75" customHeight="1">
      <c r="A61" s="72" t="s">
        <v>320</v>
      </c>
      <c r="B61" s="219">
        <f>B38/B62</f>
        <v>34.00586576</v>
      </c>
      <c r="D61" s="226" t="s">
        <v>328</v>
      </c>
      <c r="I61" s="34"/>
      <c r="J61" s="34"/>
    </row>
    <row r="62" ht="15.75" customHeight="1">
      <c r="A62" s="58" t="s">
        <v>297</v>
      </c>
      <c r="B62" s="179">
        <f>H44</f>
        <v>673.4</v>
      </c>
      <c r="D62" s="226" t="s">
        <v>333</v>
      </c>
      <c r="I62" s="34"/>
      <c r="J62" s="34"/>
    </row>
    <row r="63" ht="15.75" customHeight="1">
      <c r="A63" s="72" t="s">
        <v>336</v>
      </c>
      <c r="B63" s="219">
        <f>B25/B64</f>
        <v>51.64721776</v>
      </c>
      <c r="D63" s="226" t="s">
        <v>340</v>
      </c>
      <c r="I63" s="34"/>
      <c r="J63" s="34"/>
    </row>
    <row r="64" ht="15.75" customHeight="1">
      <c r="A64" s="82" t="s">
        <v>297</v>
      </c>
      <c r="B64" s="89">
        <f>H59</f>
        <v>0.6472759124</v>
      </c>
      <c r="D64" s="226" t="s">
        <v>342</v>
      </c>
      <c r="I64" s="34"/>
      <c r="J64" s="34"/>
    </row>
    <row r="65" ht="15.75" customHeight="1">
      <c r="A65" s="169" t="s">
        <v>159</v>
      </c>
      <c r="D65" s="226" t="s">
        <v>343</v>
      </c>
      <c r="I65" s="34"/>
      <c r="J65" s="34"/>
    </row>
    <row r="66" ht="15.75" customHeight="1">
      <c r="A66" s="169" t="s">
        <v>345</v>
      </c>
      <c r="D66" s="226" t="s">
        <v>346</v>
      </c>
      <c r="I66" s="34"/>
      <c r="J66" s="34"/>
    </row>
    <row r="67" ht="15.75" customHeight="1">
      <c r="A67" s="169" t="s">
        <v>347</v>
      </c>
      <c r="D67" s="34"/>
      <c r="E67" s="34"/>
      <c r="F67" s="34"/>
      <c r="G67" s="34"/>
      <c r="H67" s="34"/>
      <c r="I67" s="34"/>
      <c r="J67" s="34"/>
    </row>
    <row r="68" ht="15.75" customHeight="1">
      <c r="A68" s="169" t="s">
        <v>348</v>
      </c>
      <c r="D68" s="31" t="s">
        <v>240</v>
      </c>
      <c r="E68" s="2"/>
      <c r="F68" s="2"/>
      <c r="G68" s="2"/>
      <c r="H68" s="3"/>
      <c r="I68" s="34"/>
      <c r="J68" s="34"/>
    </row>
    <row r="69" ht="15.75" customHeight="1">
      <c r="A69" s="169" t="s">
        <v>349</v>
      </c>
      <c r="D69" s="61" t="s">
        <v>350</v>
      </c>
      <c r="E69" s="6"/>
      <c r="F69" s="6"/>
      <c r="G69" s="6"/>
      <c r="H69" s="7"/>
      <c r="I69" s="34"/>
      <c r="J69" s="34"/>
    </row>
    <row r="70" ht="15.75" customHeight="1">
      <c r="A70" s="169" t="s">
        <v>352</v>
      </c>
      <c r="D70" s="193"/>
      <c r="E70" s="67" t="s">
        <v>48</v>
      </c>
      <c r="F70" s="67" t="s">
        <v>51</v>
      </c>
      <c r="G70" s="67" t="s">
        <v>53</v>
      </c>
      <c r="H70" s="64" t="s">
        <v>202</v>
      </c>
      <c r="I70" s="34"/>
      <c r="J70" s="34"/>
    </row>
    <row r="71" ht="15.75" customHeight="1">
      <c r="A71" s="169" t="s">
        <v>354</v>
      </c>
      <c r="D71" s="194" t="s">
        <v>143</v>
      </c>
      <c r="E71" s="212">
        <f t="shared" ref="E71:H71" si="20">E47</f>
        <v>210</v>
      </c>
      <c r="F71" s="212">
        <f t="shared" si="20"/>
        <v>157.5</v>
      </c>
      <c r="G71" s="212">
        <f t="shared" si="20"/>
        <v>162</v>
      </c>
      <c r="H71" s="195">
        <f t="shared" si="20"/>
        <v>214.5</v>
      </c>
      <c r="I71" s="34"/>
      <c r="J71" s="34"/>
    </row>
    <row r="72" ht="15.75" customHeight="1">
      <c r="A72" s="169" t="s">
        <v>356</v>
      </c>
      <c r="D72" s="198" t="s">
        <v>255</v>
      </c>
      <c r="E72" s="210">
        <f t="shared" ref="E72:H72" si="21">E71/E7</f>
        <v>0.04421052632</v>
      </c>
      <c r="F72" s="210">
        <f t="shared" si="21"/>
        <v>0.04487179487</v>
      </c>
      <c r="G72" s="210">
        <f t="shared" si="21"/>
        <v>0.04372469636</v>
      </c>
      <c r="H72" s="200">
        <f t="shared" si="21"/>
        <v>0.04337714863</v>
      </c>
      <c r="I72" s="34"/>
      <c r="J72" s="34"/>
    </row>
    <row r="73" ht="15.75" customHeight="1">
      <c r="A73" s="169" t="s">
        <v>358</v>
      </c>
      <c r="D73" s="203" t="s">
        <v>359</v>
      </c>
      <c r="E73" s="212">
        <v>118.8</v>
      </c>
      <c r="F73" s="212">
        <v>87.8</v>
      </c>
      <c r="G73" s="212">
        <v>92.6</v>
      </c>
      <c r="H73" s="195">
        <f>E73+G73-F73</f>
        <v>123.6</v>
      </c>
      <c r="I73" s="34"/>
      <c r="J73" s="34"/>
    </row>
    <row r="74" ht="15.75" customHeight="1">
      <c r="A74" s="169" t="s">
        <v>366</v>
      </c>
      <c r="D74" s="205" t="s">
        <v>255</v>
      </c>
      <c r="E74" s="230">
        <f t="shared" ref="E74:H74" si="22">E73/E7</f>
        <v>0.02501052632</v>
      </c>
      <c r="F74" s="230">
        <f t="shared" si="22"/>
        <v>0.02501424501</v>
      </c>
      <c r="G74" s="230">
        <f t="shared" si="22"/>
        <v>0.02499325236</v>
      </c>
      <c r="H74" s="207">
        <f t="shared" si="22"/>
        <v>0.02499494439</v>
      </c>
      <c r="I74" s="34"/>
      <c r="J74" s="34"/>
    </row>
    <row r="75" ht="15.75" customHeight="1">
      <c r="A75" s="169" t="s">
        <v>370</v>
      </c>
      <c r="D75" s="226" t="s">
        <v>267</v>
      </c>
      <c r="I75" s="34"/>
      <c r="J75" s="34"/>
    </row>
    <row r="76" ht="15.75" customHeight="1">
      <c r="A76" s="169" t="s">
        <v>371</v>
      </c>
      <c r="D76" s="226" t="s">
        <v>373</v>
      </c>
      <c r="I76" s="34"/>
      <c r="J76" s="34"/>
    </row>
    <row r="77" ht="15.75" customHeight="1">
      <c r="A77" s="169" t="s">
        <v>374</v>
      </c>
      <c r="D77" s="226" t="s">
        <v>375</v>
      </c>
      <c r="I77" s="34"/>
      <c r="J77" s="34"/>
    </row>
    <row r="78" ht="15.75" customHeight="1">
      <c r="A78" s="169" t="s">
        <v>377</v>
      </c>
      <c r="D78" s="226" t="s">
        <v>378</v>
      </c>
      <c r="I78" s="34"/>
      <c r="J78" s="34"/>
    </row>
    <row r="79" ht="15.75" customHeight="1">
      <c r="A79" s="192" t="s">
        <v>380</v>
      </c>
      <c r="D79" s="226"/>
      <c r="E79" s="226"/>
      <c r="F79" s="226"/>
      <c r="G79" s="226"/>
      <c r="H79" s="226"/>
      <c r="I79" s="34"/>
      <c r="J79" s="34"/>
    </row>
    <row r="80" ht="15.75" customHeight="1">
      <c r="A80" s="192" t="s">
        <v>385</v>
      </c>
      <c r="D80" s="25" t="s">
        <v>185</v>
      </c>
      <c r="E80" s="37"/>
      <c r="F80" s="27"/>
      <c r="G80" s="226"/>
      <c r="H80" s="226"/>
      <c r="I80" s="34"/>
      <c r="J80" s="34"/>
    </row>
    <row r="81" ht="15.75" customHeight="1">
      <c r="A81" s="192" t="s">
        <v>390</v>
      </c>
      <c r="D81" s="193"/>
      <c r="E81" s="231" t="s">
        <v>191</v>
      </c>
      <c r="F81" s="232" t="s">
        <v>193</v>
      </c>
      <c r="G81" s="34"/>
      <c r="H81" s="34"/>
      <c r="I81" s="34"/>
      <c r="J81" s="34"/>
    </row>
    <row r="82" ht="15.75" customHeight="1">
      <c r="A82" s="192" t="s">
        <v>391</v>
      </c>
      <c r="D82" s="203" t="s">
        <v>392</v>
      </c>
      <c r="E82" s="233" t="s">
        <v>72</v>
      </c>
      <c r="F82" s="234" t="s">
        <v>393</v>
      </c>
      <c r="G82" s="34"/>
      <c r="H82" s="34"/>
      <c r="I82" s="34"/>
      <c r="J82" s="34"/>
    </row>
    <row r="83" ht="15.75" customHeight="1">
      <c r="A83" s="192" t="s">
        <v>394</v>
      </c>
      <c r="D83" s="203" t="s">
        <v>395</v>
      </c>
      <c r="E83" s="233" t="s">
        <v>384</v>
      </c>
      <c r="F83" s="234" t="s">
        <v>396</v>
      </c>
      <c r="G83" s="34"/>
      <c r="H83" s="34"/>
      <c r="I83" s="34"/>
      <c r="J83" s="34"/>
    </row>
    <row r="84" ht="15.75" customHeight="1">
      <c r="A84" s="192" t="s">
        <v>397</v>
      </c>
      <c r="D84" s="203" t="s">
        <v>398</v>
      </c>
      <c r="E84" s="233" t="s">
        <v>211</v>
      </c>
      <c r="F84" s="234" t="s">
        <v>399</v>
      </c>
      <c r="G84" s="34"/>
      <c r="H84" s="34"/>
      <c r="I84" s="34"/>
      <c r="J84" s="34"/>
    </row>
    <row r="85" ht="15.75" customHeight="1">
      <c r="A85" s="192" t="s">
        <v>400</v>
      </c>
      <c r="D85" s="201" t="s">
        <v>401</v>
      </c>
      <c r="E85" s="236" t="s">
        <v>72</v>
      </c>
      <c r="F85" s="237" t="s">
        <v>402</v>
      </c>
      <c r="G85" s="34"/>
      <c r="H85" s="34"/>
      <c r="I85" s="34"/>
      <c r="J85" s="34"/>
    </row>
    <row r="86" ht="15.75" customHeight="1">
      <c r="I86" s="34"/>
      <c r="J86" s="34"/>
    </row>
    <row r="87" ht="15.75" customHeight="1">
      <c r="I87" s="34"/>
      <c r="J87" s="34"/>
    </row>
    <row r="88" ht="15.75" customHeight="1">
      <c r="I88" s="34"/>
      <c r="J88" s="34"/>
    </row>
    <row r="89" ht="15.75" customHeight="1">
      <c r="A89" s="34"/>
      <c r="B89" s="34"/>
      <c r="D89" s="34"/>
      <c r="E89" s="34"/>
      <c r="F89" s="34"/>
      <c r="G89" s="34"/>
      <c r="H89" s="34"/>
      <c r="I89" s="34"/>
      <c r="J89" s="34"/>
    </row>
    <row r="90" ht="15.75" customHeight="1">
      <c r="A90" s="34"/>
      <c r="B90" s="34"/>
      <c r="D90" s="34"/>
      <c r="E90" s="34"/>
      <c r="F90" s="34"/>
      <c r="G90" s="34"/>
      <c r="H90" s="34"/>
      <c r="I90" s="34"/>
      <c r="J90" s="34"/>
    </row>
    <row r="91" ht="15.75" customHeight="1">
      <c r="A91" s="34"/>
      <c r="B91" s="34"/>
      <c r="D91" s="34"/>
      <c r="E91" s="34"/>
      <c r="F91" s="34"/>
      <c r="G91" s="34"/>
      <c r="H91" s="34"/>
      <c r="I91" s="34"/>
      <c r="J91" s="34"/>
    </row>
    <row r="92" ht="15.75" customHeight="1">
      <c r="A92" s="34"/>
      <c r="B92" s="34"/>
      <c r="D92" s="34"/>
      <c r="E92" s="34"/>
      <c r="F92" s="34"/>
      <c r="G92" s="34"/>
      <c r="H92" s="34"/>
      <c r="I92" s="34"/>
      <c r="J92" s="34"/>
    </row>
    <row r="93" ht="15.75" customHeight="1">
      <c r="A93" s="34"/>
      <c r="B93" s="34"/>
      <c r="D93" s="34"/>
      <c r="E93" s="34"/>
      <c r="F93" s="34"/>
      <c r="G93" s="34"/>
      <c r="H93" s="34"/>
      <c r="I93" s="34"/>
      <c r="J93" s="34"/>
    </row>
    <row r="94" ht="15.75" customHeight="1">
      <c r="A94" s="34"/>
      <c r="B94" s="34"/>
      <c r="D94" s="34"/>
      <c r="E94" s="34"/>
      <c r="F94" s="34"/>
      <c r="G94" s="34"/>
      <c r="H94" s="34"/>
      <c r="I94" s="34"/>
      <c r="J94" s="34"/>
    </row>
    <row r="95" ht="15.75" customHeight="1">
      <c r="A95" s="34"/>
      <c r="B95" s="34"/>
      <c r="D95" s="34"/>
      <c r="E95" s="34"/>
      <c r="F95" s="34"/>
      <c r="G95" s="34"/>
      <c r="H95" s="34"/>
      <c r="I95" s="34"/>
      <c r="J95" s="34"/>
    </row>
    <row r="96" ht="15.75" customHeight="1">
      <c r="A96" s="34"/>
      <c r="B96" s="34"/>
      <c r="D96" s="34"/>
      <c r="E96" s="34"/>
      <c r="F96" s="34"/>
      <c r="G96" s="34"/>
      <c r="H96" s="34"/>
      <c r="I96" s="34"/>
      <c r="J96" s="34"/>
    </row>
    <row r="97" ht="15.75" customHeight="1">
      <c r="A97" s="34"/>
      <c r="B97" s="34"/>
      <c r="D97" s="34"/>
      <c r="E97" s="34"/>
      <c r="F97" s="34"/>
      <c r="G97" s="34"/>
      <c r="H97" s="34"/>
      <c r="I97" s="34"/>
      <c r="J97" s="34"/>
    </row>
    <row r="98" ht="15.75" customHeight="1">
      <c r="A98" s="34"/>
      <c r="B98" s="34"/>
      <c r="D98" s="34"/>
      <c r="E98" s="34"/>
      <c r="F98" s="34"/>
      <c r="G98" s="34"/>
      <c r="H98" s="34"/>
      <c r="I98" s="34"/>
      <c r="J98" s="34"/>
    </row>
    <row r="99" ht="15.75" customHeight="1">
      <c r="A99" s="34"/>
      <c r="B99" s="34"/>
      <c r="D99" s="34"/>
      <c r="E99" s="34"/>
      <c r="F99" s="34"/>
      <c r="G99" s="34"/>
      <c r="H99" s="34"/>
      <c r="I99" s="34"/>
      <c r="J99" s="34"/>
    </row>
    <row r="100" ht="15.75" customHeight="1">
      <c r="D100" s="34"/>
      <c r="E100" s="34"/>
      <c r="F100" s="34"/>
      <c r="G100" s="34"/>
      <c r="H100" s="34"/>
      <c r="I100" s="34"/>
      <c r="J100" s="34"/>
    </row>
    <row r="101" ht="15.75" customHeight="1">
      <c r="D101" s="34"/>
      <c r="E101" s="34"/>
      <c r="F101" s="34"/>
      <c r="G101" s="34"/>
      <c r="H101" s="34"/>
      <c r="I101" s="34"/>
      <c r="J101" s="34"/>
    </row>
    <row r="102" ht="15.75" customHeight="1">
      <c r="D102" s="34"/>
      <c r="E102" s="34"/>
      <c r="F102" s="34"/>
      <c r="G102" s="34"/>
      <c r="H102" s="34"/>
      <c r="I102" s="34"/>
      <c r="J102" s="34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6">
    <mergeCell ref="D64:H64"/>
    <mergeCell ref="D65:H65"/>
    <mergeCell ref="A55:B55"/>
    <mergeCell ref="A56:B56"/>
    <mergeCell ref="D60:H60"/>
    <mergeCell ref="D61:H61"/>
    <mergeCell ref="D62:H62"/>
    <mergeCell ref="D63:H63"/>
    <mergeCell ref="A65:B65"/>
    <mergeCell ref="A66:B66"/>
    <mergeCell ref="D66:H66"/>
    <mergeCell ref="A67:B67"/>
    <mergeCell ref="A68:B68"/>
    <mergeCell ref="D68:H68"/>
    <mergeCell ref="A69:B69"/>
    <mergeCell ref="D69:H69"/>
    <mergeCell ref="D75:H75"/>
    <mergeCell ref="D76:H76"/>
    <mergeCell ref="D77:H77"/>
    <mergeCell ref="D78:H78"/>
    <mergeCell ref="D80:F80"/>
    <mergeCell ref="A70:B70"/>
    <mergeCell ref="A71:B71"/>
    <mergeCell ref="A72:B72"/>
    <mergeCell ref="A73:B73"/>
    <mergeCell ref="A74:B74"/>
    <mergeCell ref="A75:B75"/>
    <mergeCell ref="A76:B76"/>
    <mergeCell ref="A84:B84"/>
    <mergeCell ref="A85:B85"/>
    <mergeCell ref="A77:B77"/>
    <mergeCell ref="A78:B78"/>
    <mergeCell ref="A79:B79"/>
    <mergeCell ref="A80:B80"/>
    <mergeCell ref="A81:B81"/>
    <mergeCell ref="A82:B82"/>
    <mergeCell ref="A83:B83"/>
    <mergeCell ref="A1:N1"/>
    <mergeCell ref="A2:N2"/>
    <mergeCell ref="A4:B4"/>
    <mergeCell ref="D4:H4"/>
    <mergeCell ref="J4:N4"/>
    <mergeCell ref="D5:H5"/>
    <mergeCell ref="J5:N5"/>
    <mergeCell ref="J6:N6"/>
    <mergeCell ref="J7:N7"/>
    <mergeCell ref="J9:N9"/>
    <mergeCell ref="J10:N10"/>
    <mergeCell ref="J11:N11"/>
    <mergeCell ref="J12:N12"/>
    <mergeCell ref="J13:N13"/>
    <mergeCell ref="J15:N15"/>
    <mergeCell ref="J16:N16"/>
    <mergeCell ref="J17:N17"/>
    <mergeCell ref="J18:N18"/>
    <mergeCell ref="J19:N19"/>
    <mergeCell ref="J20:N20"/>
    <mergeCell ref="J21:N21"/>
    <mergeCell ref="J22:N22"/>
    <mergeCell ref="A23:B23"/>
    <mergeCell ref="D23:H23"/>
    <mergeCell ref="A24:B24"/>
    <mergeCell ref="D24:H24"/>
    <mergeCell ref="D25:H25"/>
    <mergeCell ref="D26:H26"/>
    <mergeCell ref="D27:H27"/>
    <mergeCell ref="D28:H28"/>
    <mergeCell ref="D29:H29"/>
    <mergeCell ref="D30:H30"/>
    <mergeCell ref="D32:H32"/>
    <mergeCell ref="D33:H33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30.88"/>
    <col customWidth="1" min="3" max="3" width="5.25"/>
    <col customWidth="1" min="4" max="4" width="29.0"/>
    <col customWidth="1" min="5" max="5" width="15.38"/>
    <col customWidth="1" min="6" max="6" width="5.13"/>
    <col customWidth="1" min="7" max="7" width="29.25"/>
    <col customWidth="1" min="8" max="8" width="22.13"/>
    <col customWidth="1" min="9" max="9" width="5.38"/>
    <col customWidth="1" min="10" max="10" width="17.88"/>
    <col customWidth="1" min="11" max="11" width="13.75"/>
    <col customWidth="1" min="12" max="13" width="13.38"/>
    <col customWidth="1" min="14" max="14" width="14.63"/>
    <col customWidth="1" min="15" max="16" width="12.63"/>
  </cols>
  <sheetData>
    <row r="1" ht="15.75" customHeight="1">
      <c r="A1" s="12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</row>
    <row r="2" ht="15.75" customHeight="1">
      <c r="A2" s="19" t="s">
        <v>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8"/>
      <c r="P2" s="8"/>
    </row>
    <row r="3" ht="15.75" customHeight="1"/>
    <row r="4" ht="15.75" customHeight="1">
      <c r="A4" s="23" t="s">
        <v>13</v>
      </c>
      <c r="B4" s="27"/>
      <c r="D4" s="32" t="s">
        <v>21</v>
      </c>
      <c r="E4" s="3"/>
      <c r="F4" s="34"/>
      <c r="G4" s="32" t="s">
        <v>24</v>
      </c>
      <c r="H4" s="3"/>
      <c r="I4" s="34"/>
      <c r="J4" s="23" t="s">
        <v>23</v>
      </c>
      <c r="K4" s="37"/>
      <c r="L4" s="37"/>
      <c r="M4" s="37"/>
      <c r="N4" s="27"/>
      <c r="O4" s="34"/>
      <c r="P4" s="34"/>
    </row>
    <row r="5" ht="15.75" customHeight="1">
      <c r="A5" s="41" t="s">
        <v>10</v>
      </c>
      <c r="B5" s="44" t="s">
        <v>30</v>
      </c>
      <c r="D5" s="47" t="s">
        <v>32</v>
      </c>
      <c r="E5" s="7"/>
      <c r="F5" s="49"/>
      <c r="G5" s="47" t="s">
        <v>32</v>
      </c>
      <c r="H5" s="7"/>
      <c r="I5" s="52"/>
      <c r="J5" s="54" t="s">
        <v>36</v>
      </c>
      <c r="K5" s="2"/>
      <c r="L5" s="2"/>
      <c r="M5" s="2"/>
      <c r="N5" s="3"/>
      <c r="O5" s="34"/>
      <c r="P5" s="34"/>
    </row>
    <row r="6" ht="15.75" customHeight="1">
      <c r="A6" s="58" t="s">
        <v>41</v>
      </c>
      <c r="B6" s="59" t="s">
        <v>42</v>
      </c>
      <c r="D6" s="63"/>
      <c r="E6" s="64" t="s">
        <v>45</v>
      </c>
      <c r="F6" s="65"/>
      <c r="G6" s="66"/>
      <c r="H6" s="68" t="s">
        <v>49</v>
      </c>
      <c r="I6" s="65"/>
      <c r="J6" s="69" t="s">
        <v>52</v>
      </c>
      <c r="N6" s="70"/>
      <c r="O6" s="34"/>
      <c r="P6" s="34"/>
    </row>
    <row r="7" ht="15.75" customHeight="1">
      <c r="A7" s="58" t="s">
        <v>54</v>
      </c>
      <c r="B7" s="59" t="s">
        <v>39</v>
      </c>
      <c r="D7" s="72" t="s">
        <v>56</v>
      </c>
      <c r="E7" s="73">
        <v>1000.0</v>
      </c>
      <c r="F7" s="74"/>
      <c r="G7" s="76" t="s">
        <v>61</v>
      </c>
      <c r="H7" s="78">
        <f>E9</f>
        <v>205</v>
      </c>
      <c r="I7" s="74"/>
      <c r="J7" s="79" t="s">
        <v>65</v>
      </c>
      <c r="N7" s="70"/>
      <c r="O7" s="34"/>
      <c r="P7" s="34"/>
    </row>
    <row r="8" ht="15.75" customHeight="1">
      <c r="A8" s="72" t="s">
        <v>68</v>
      </c>
      <c r="B8" s="81">
        <v>46387.0</v>
      </c>
      <c r="D8" s="82" t="s">
        <v>69</v>
      </c>
      <c r="E8" s="83">
        <v>795.0</v>
      </c>
      <c r="F8" s="85"/>
      <c r="G8" s="87" t="s">
        <v>71</v>
      </c>
      <c r="H8" s="90" t="s">
        <v>72</v>
      </c>
      <c r="I8" s="85"/>
      <c r="J8" s="92" t="s">
        <v>73</v>
      </c>
      <c r="K8" s="6"/>
      <c r="L8" s="6"/>
      <c r="M8" s="6"/>
      <c r="N8" s="7"/>
      <c r="O8" s="34"/>
      <c r="P8" s="34"/>
    </row>
    <row r="9" ht="15.75" customHeight="1">
      <c r="A9" s="58" t="s">
        <v>75</v>
      </c>
      <c r="B9" s="94">
        <v>0.25</v>
      </c>
      <c r="D9" s="72" t="s">
        <v>77</v>
      </c>
      <c r="E9" s="73">
        <f>E7-E8</f>
        <v>205</v>
      </c>
      <c r="F9" s="95"/>
      <c r="G9" s="96" t="s">
        <v>80</v>
      </c>
      <c r="H9" s="101">
        <f>H7</f>
        <v>205</v>
      </c>
      <c r="I9" s="95"/>
      <c r="O9" s="34"/>
      <c r="P9" s="34"/>
    </row>
    <row r="10" ht="15.75" customHeight="1">
      <c r="A10" s="58"/>
      <c r="B10" s="103"/>
      <c r="D10" s="58" t="s">
        <v>84</v>
      </c>
      <c r="E10" s="105">
        <v>150.0</v>
      </c>
      <c r="F10" s="85"/>
      <c r="G10" s="107" t="s">
        <v>88</v>
      </c>
      <c r="H10" s="113">
        <f>H9/E7</f>
        <v>0.205</v>
      </c>
      <c r="I10" s="85"/>
      <c r="J10" s="32" t="s">
        <v>81</v>
      </c>
      <c r="K10" s="2"/>
      <c r="L10" s="2"/>
      <c r="M10" s="2"/>
      <c r="N10" s="3"/>
      <c r="O10" s="34"/>
      <c r="P10" s="34"/>
    </row>
    <row r="11" ht="15.75" customHeight="1">
      <c r="A11" s="72" t="s">
        <v>9</v>
      </c>
      <c r="B11" s="120" t="s">
        <v>33</v>
      </c>
      <c r="D11" s="82" t="s">
        <v>91</v>
      </c>
      <c r="E11" s="115" t="s">
        <v>72</v>
      </c>
      <c r="F11" s="123"/>
      <c r="G11" s="76"/>
      <c r="H11" s="126"/>
      <c r="I11" s="74"/>
      <c r="J11" s="54" t="s">
        <v>98</v>
      </c>
      <c r="K11" s="2"/>
      <c r="L11" s="2"/>
      <c r="M11" s="2"/>
      <c r="N11" s="3"/>
      <c r="O11" s="34"/>
      <c r="P11" s="34"/>
    </row>
    <row r="12" ht="15.75" customHeight="1">
      <c r="A12" s="58" t="s">
        <v>54</v>
      </c>
      <c r="B12" s="59" t="s">
        <v>99</v>
      </c>
      <c r="D12" s="72" t="s">
        <v>97</v>
      </c>
      <c r="E12" s="73">
        <f>E9-E10</f>
        <v>55</v>
      </c>
      <c r="F12" s="74"/>
      <c r="G12" s="76" t="s">
        <v>104</v>
      </c>
      <c r="H12" s="78">
        <f>E12</f>
        <v>55</v>
      </c>
      <c r="I12" s="85"/>
      <c r="J12" s="69" t="s">
        <v>106</v>
      </c>
      <c r="N12" s="70"/>
      <c r="O12" s="34"/>
      <c r="P12" s="34"/>
    </row>
    <row r="13" ht="15.75" customHeight="1">
      <c r="A13" s="58" t="s">
        <v>108</v>
      </c>
      <c r="B13" s="128">
        <v>46387.0</v>
      </c>
      <c r="D13" s="82" t="s">
        <v>105</v>
      </c>
      <c r="E13" s="83">
        <v>10.0</v>
      </c>
      <c r="F13" s="85"/>
      <c r="G13" s="129" t="s">
        <v>71</v>
      </c>
      <c r="H13" s="131" t="s">
        <v>72</v>
      </c>
      <c r="I13" s="85"/>
      <c r="J13" s="79" t="s">
        <v>110</v>
      </c>
      <c r="N13" s="70"/>
      <c r="O13" s="34"/>
      <c r="P13" s="34"/>
    </row>
    <row r="14" ht="15.75" customHeight="1">
      <c r="A14" s="58"/>
      <c r="B14" s="103"/>
      <c r="D14" s="72" t="s">
        <v>112</v>
      </c>
      <c r="E14" s="73">
        <f>E12-E13</f>
        <v>45</v>
      </c>
      <c r="F14" s="95"/>
      <c r="G14" s="132" t="s">
        <v>114</v>
      </c>
      <c r="H14" s="131">
        <v>6.5</v>
      </c>
      <c r="I14" s="95"/>
      <c r="J14" s="130" t="s">
        <v>115</v>
      </c>
      <c r="K14" s="6"/>
      <c r="L14" s="6"/>
      <c r="M14" s="6"/>
      <c r="N14" s="7"/>
      <c r="O14" s="34"/>
      <c r="P14" s="34"/>
    </row>
    <row r="15" ht="15.75" customHeight="1">
      <c r="A15" s="58" t="s">
        <v>8</v>
      </c>
      <c r="B15" s="133">
        <v>44279.0</v>
      </c>
      <c r="D15" s="58" t="s">
        <v>119</v>
      </c>
      <c r="E15" s="105">
        <v>13.5</v>
      </c>
      <c r="F15" s="85"/>
      <c r="G15" s="134" t="s">
        <v>120</v>
      </c>
      <c r="H15" s="135">
        <v>8.5</v>
      </c>
      <c r="I15" s="85"/>
      <c r="J15" s="95"/>
      <c r="L15" s="34"/>
      <c r="M15" s="34"/>
      <c r="N15" s="34"/>
      <c r="O15" s="34"/>
      <c r="P15" s="34"/>
    </row>
    <row r="16" ht="15.75" customHeight="1">
      <c r="A16" s="58" t="s">
        <v>121</v>
      </c>
      <c r="B16" s="133">
        <v>44287.0</v>
      </c>
      <c r="D16" s="58" t="s">
        <v>123</v>
      </c>
      <c r="E16" s="136" t="s">
        <v>72</v>
      </c>
      <c r="F16" s="137"/>
      <c r="G16" s="138" t="s">
        <v>124</v>
      </c>
      <c r="H16" s="101">
        <f>H12+H14+H15</f>
        <v>70</v>
      </c>
      <c r="I16" s="85"/>
      <c r="J16" s="32" t="s">
        <v>122</v>
      </c>
      <c r="K16" s="2"/>
      <c r="L16" s="2"/>
      <c r="M16" s="2"/>
      <c r="N16" s="3"/>
      <c r="O16" s="34"/>
      <c r="P16" s="34"/>
    </row>
    <row r="17" ht="15.75" customHeight="1">
      <c r="A17" s="58" t="s">
        <v>11</v>
      </c>
      <c r="B17" s="59" t="s">
        <v>26</v>
      </c>
      <c r="D17" s="82" t="s">
        <v>127</v>
      </c>
      <c r="E17" s="141" t="s">
        <v>72</v>
      </c>
      <c r="F17" s="137"/>
      <c r="G17" s="107" t="s">
        <v>88</v>
      </c>
      <c r="H17" s="113">
        <f>H16/E7</f>
        <v>0.07</v>
      </c>
      <c r="I17" s="95"/>
      <c r="J17" s="54" t="s">
        <v>132</v>
      </c>
      <c r="K17" s="2"/>
      <c r="L17" s="2"/>
      <c r="M17" s="2"/>
      <c r="N17" s="3"/>
      <c r="O17" s="34"/>
      <c r="P17" s="34"/>
    </row>
    <row r="18" ht="15.75" customHeight="1">
      <c r="A18" s="58" t="s">
        <v>133</v>
      </c>
      <c r="B18" s="75" t="s">
        <v>134</v>
      </c>
      <c r="D18" s="72" t="s">
        <v>130</v>
      </c>
      <c r="E18" s="73">
        <f>E14-E15</f>
        <v>31.5</v>
      </c>
      <c r="F18" s="74"/>
      <c r="G18" s="76"/>
      <c r="H18" s="126"/>
      <c r="I18" s="143"/>
      <c r="J18" s="69" t="s">
        <v>137</v>
      </c>
      <c r="N18" s="70"/>
      <c r="O18" s="34"/>
      <c r="P18" s="34"/>
    </row>
    <row r="19" ht="15.75" customHeight="1">
      <c r="A19" s="82" t="s">
        <v>12</v>
      </c>
      <c r="B19" s="145" t="s">
        <v>139</v>
      </c>
      <c r="D19" s="144" t="s">
        <v>136</v>
      </c>
      <c r="E19" s="147">
        <v>0.3</v>
      </c>
      <c r="F19" s="149"/>
      <c r="G19" s="150" t="s">
        <v>143</v>
      </c>
      <c r="H19" s="135">
        <v>40.0</v>
      </c>
      <c r="J19" s="79" t="s">
        <v>144</v>
      </c>
      <c r="N19" s="70"/>
      <c r="O19" s="34"/>
      <c r="P19" s="34"/>
    </row>
    <row r="20" ht="15.75" customHeight="1">
      <c r="D20" s="58"/>
      <c r="E20" s="105"/>
      <c r="F20" s="85"/>
      <c r="G20" s="138" t="s">
        <v>146</v>
      </c>
      <c r="H20" s="101">
        <f>H16+H19</f>
        <v>110</v>
      </c>
      <c r="I20" s="85"/>
      <c r="J20" s="151" t="s">
        <v>152</v>
      </c>
      <c r="N20" s="70"/>
      <c r="O20" s="34"/>
      <c r="P20" s="34"/>
    </row>
    <row r="21" ht="15.75" customHeight="1">
      <c r="A21" s="32" t="s">
        <v>155</v>
      </c>
      <c r="B21" s="3"/>
      <c r="D21" s="82" t="s">
        <v>156</v>
      </c>
      <c r="E21" s="83">
        <v>24.0</v>
      </c>
      <c r="F21" s="85"/>
      <c r="G21" s="107" t="s">
        <v>88</v>
      </c>
      <c r="H21" s="113">
        <f>H20/E7</f>
        <v>0.11</v>
      </c>
      <c r="I21" s="95"/>
      <c r="J21" s="152" t="s">
        <v>158</v>
      </c>
      <c r="N21" s="70"/>
      <c r="O21" s="34"/>
      <c r="P21" s="34"/>
    </row>
    <row r="22" ht="15.75" customHeight="1">
      <c r="A22" s="47" t="s">
        <v>32</v>
      </c>
      <c r="B22" s="7"/>
      <c r="D22" s="154" t="s">
        <v>154</v>
      </c>
      <c r="E22" s="160">
        <f>E18/E21</f>
        <v>1.3125</v>
      </c>
      <c r="F22" s="95"/>
      <c r="G22" s="164"/>
      <c r="H22" s="166"/>
      <c r="J22" s="161" t="s">
        <v>166</v>
      </c>
      <c r="K22" s="6"/>
      <c r="L22" s="6"/>
      <c r="M22" s="6"/>
      <c r="N22" s="7"/>
      <c r="O22" s="34"/>
      <c r="P22" s="34"/>
    </row>
    <row r="23" ht="15.75" customHeight="1">
      <c r="A23" s="63" t="s">
        <v>172</v>
      </c>
      <c r="B23" s="168">
        <v>27.08</v>
      </c>
      <c r="D23" s="169" t="s">
        <v>159</v>
      </c>
      <c r="G23" s="164" t="s">
        <v>176</v>
      </c>
      <c r="H23" s="78">
        <f>E18</f>
        <v>31.5</v>
      </c>
      <c r="J23" s="163"/>
      <c r="K23" s="163"/>
      <c r="L23" s="163"/>
      <c r="M23" s="163"/>
      <c r="N23" s="163"/>
      <c r="O23" s="34"/>
      <c r="P23" s="34"/>
    </row>
    <row r="24" ht="15.75" customHeight="1">
      <c r="A24" s="58" t="s">
        <v>164</v>
      </c>
      <c r="B24" s="165" t="s">
        <v>72</v>
      </c>
      <c r="D24" s="169" t="s">
        <v>182</v>
      </c>
      <c r="G24" s="164" t="s">
        <v>71</v>
      </c>
      <c r="H24" s="172" t="s">
        <v>72</v>
      </c>
      <c r="J24" s="173" t="s">
        <v>185</v>
      </c>
      <c r="K24" s="37"/>
      <c r="L24" s="27"/>
      <c r="M24" s="34"/>
      <c r="N24" s="34"/>
      <c r="O24" s="34"/>
      <c r="P24" s="34"/>
    </row>
    <row r="25" ht="15.75" customHeight="1">
      <c r="A25" s="58" t="s">
        <v>167</v>
      </c>
      <c r="B25" s="165" t="s">
        <v>72</v>
      </c>
      <c r="D25" s="169" t="s">
        <v>189</v>
      </c>
      <c r="G25" s="132" t="s">
        <v>190</v>
      </c>
      <c r="H25" s="131">
        <v>15.0</v>
      </c>
      <c r="J25" s="66"/>
      <c r="K25" s="174" t="s">
        <v>191</v>
      </c>
      <c r="L25" s="175" t="s">
        <v>193</v>
      </c>
      <c r="M25" s="34"/>
      <c r="N25" s="34"/>
      <c r="O25" s="34"/>
      <c r="P25" s="34"/>
    </row>
    <row r="26" ht="15.75" customHeight="1">
      <c r="A26" s="82" t="s">
        <v>170</v>
      </c>
      <c r="B26" s="115" t="s">
        <v>72</v>
      </c>
      <c r="D26" s="169" t="s">
        <v>196</v>
      </c>
      <c r="G26" s="164" t="s">
        <v>197</v>
      </c>
      <c r="H26" s="172" t="s">
        <v>72</v>
      </c>
      <c r="J26" s="164" t="s">
        <v>198</v>
      </c>
      <c r="K26" s="177" t="s">
        <v>72</v>
      </c>
      <c r="L26" s="172" t="s">
        <v>199</v>
      </c>
      <c r="M26" s="34"/>
      <c r="N26" s="34"/>
      <c r="O26" s="34"/>
      <c r="P26" s="34"/>
    </row>
    <row r="27" ht="15.75" customHeight="1">
      <c r="A27" s="72" t="s">
        <v>174</v>
      </c>
      <c r="B27" s="73">
        <f>B23</f>
        <v>27.08</v>
      </c>
      <c r="D27" s="169" t="s">
        <v>201</v>
      </c>
      <c r="G27" s="150" t="s">
        <v>203</v>
      </c>
      <c r="H27" s="135">
        <v>-4.5</v>
      </c>
      <c r="J27" s="164" t="s">
        <v>205</v>
      </c>
      <c r="K27" s="177" t="s">
        <v>206</v>
      </c>
      <c r="L27" s="172" t="s">
        <v>207</v>
      </c>
      <c r="M27" s="34"/>
      <c r="N27" s="34"/>
      <c r="O27" s="34"/>
      <c r="P27" s="34"/>
    </row>
    <row r="28" ht="15.75" customHeight="1">
      <c r="A28" s="58"/>
      <c r="B28" s="103"/>
      <c r="D28" s="169" t="s">
        <v>208</v>
      </c>
      <c r="G28" s="96" t="s">
        <v>209</v>
      </c>
      <c r="H28" s="101">
        <f>H23+H25+H27</f>
        <v>42</v>
      </c>
      <c r="J28" s="164" t="s">
        <v>205</v>
      </c>
      <c r="K28" s="177" t="s">
        <v>211</v>
      </c>
      <c r="L28" s="180">
        <v>44869.0</v>
      </c>
      <c r="M28" s="34"/>
      <c r="N28" s="34"/>
      <c r="O28" s="34"/>
      <c r="P28" s="34"/>
    </row>
    <row r="29" ht="15.75" customHeight="1">
      <c r="A29" s="171" t="s">
        <v>214</v>
      </c>
      <c r="B29" s="83">
        <v>24.0</v>
      </c>
      <c r="D29" s="169" t="s">
        <v>215</v>
      </c>
      <c r="G29" s="182" t="s">
        <v>88</v>
      </c>
      <c r="H29" s="113">
        <f>H28/E7</f>
        <v>0.042</v>
      </c>
      <c r="J29" s="150" t="s">
        <v>217</v>
      </c>
      <c r="K29" s="184" t="s">
        <v>72</v>
      </c>
      <c r="L29" s="185" t="s">
        <v>219</v>
      </c>
      <c r="M29" s="34"/>
      <c r="N29" s="34"/>
      <c r="O29" s="34"/>
      <c r="P29" s="34"/>
    </row>
    <row r="30" ht="15.75" customHeight="1">
      <c r="A30" s="72" t="s">
        <v>195</v>
      </c>
      <c r="B30" s="73">
        <f>B27*B29</f>
        <v>649.92</v>
      </c>
      <c r="D30" s="169" t="s">
        <v>221</v>
      </c>
      <c r="G30" s="150"/>
      <c r="H30" s="187"/>
      <c r="L30" s="34"/>
      <c r="M30" s="34"/>
      <c r="N30" s="34"/>
      <c r="O30" s="34"/>
      <c r="P30" s="34"/>
    </row>
    <row r="31" ht="15.75" customHeight="1">
      <c r="A31" s="58"/>
      <c r="B31" s="103"/>
      <c r="D31" s="169" t="s">
        <v>224</v>
      </c>
      <c r="G31" s="188" t="s">
        <v>225</v>
      </c>
      <c r="H31" s="189">
        <f>H28/E21</f>
        <v>1.75</v>
      </c>
      <c r="L31" s="34"/>
      <c r="M31" s="34"/>
      <c r="N31" s="34"/>
      <c r="O31" s="34"/>
      <c r="P31" s="34"/>
    </row>
    <row r="32" ht="15.75" customHeight="1">
      <c r="A32" s="58" t="s">
        <v>229</v>
      </c>
      <c r="B32" s="165" t="s">
        <v>72</v>
      </c>
      <c r="D32" s="192" t="s">
        <v>231</v>
      </c>
      <c r="F32" s="34"/>
      <c r="G32" s="192" t="s">
        <v>159</v>
      </c>
      <c r="L32" s="34"/>
      <c r="M32" s="34"/>
      <c r="N32" s="34"/>
      <c r="O32" s="34"/>
      <c r="P32" s="34"/>
    </row>
    <row r="33" ht="15.75" customHeight="1">
      <c r="A33" s="58" t="s">
        <v>200</v>
      </c>
      <c r="B33" s="165" t="s">
        <v>72</v>
      </c>
      <c r="C33" s="176"/>
      <c r="D33" s="34"/>
      <c r="E33" s="34"/>
      <c r="F33" s="34"/>
      <c r="G33" s="192" t="s">
        <v>238</v>
      </c>
      <c r="L33" s="34"/>
      <c r="M33" s="34"/>
      <c r="N33" s="34"/>
      <c r="O33" s="34"/>
      <c r="P33" s="34"/>
    </row>
    <row r="34" ht="15.75" customHeight="1">
      <c r="A34" s="58" t="s">
        <v>204</v>
      </c>
      <c r="B34" s="165" t="s">
        <v>72</v>
      </c>
      <c r="C34" s="153"/>
      <c r="D34" s="32" t="s">
        <v>240</v>
      </c>
      <c r="E34" s="3"/>
      <c r="F34" s="34"/>
      <c r="G34" s="192" t="s">
        <v>241</v>
      </c>
      <c r="L34" s="34"/>
      <c r="M34" s="34"/>
      <c r="N34" s="34"/>
      <c r="O34" s="34"/>
      <c r="P34" s="34"/>
    </row>
    <row r="35" ht="15.75" customHeight="1">
      <c r="A35" s="82" t="s">
        <v>242</v>
      </c>
      <c r="B35" s="115" t="s">
        <v>72</v>
      </c>
      <c r="C35" s="153"/>
      <c r="D35" s="47" t="s">
        <v>245</v>
      </c>
      <c r="E35" s="7"/>
      <c r="F35" s="34"/>
      <c r="G35" s="192" t="s">
        <v>246</v>
      </c>
      <c r="L35" s="34"/>
      <c r="M35" s="34"/>
      <c r="N35" s="34"/>
      <c r="O35" s="34"/>
      <c r="P35" s="34"/>
    </row>
    <row r="36" ht="15.75" customHeight="1">
      <c r="A36" s="154" t="s">
        <v>247</v>
      </c>
      <c r="B36" s="160">
        <f>B30</f>
        <v>649.92</v>
      </c>
      <c r="C36" s="153"/>
      <c r="D36" s="193"/>
      <c r="E36" s="68" t="s">
        <v>49</v>
      </c>
      <c r="F36" s="34"/>
      <c r="G36" s="192" t="s">
        <v>248</v>
      </c>
      <c r="L36" s="34"/>
      <c r="M36" s="34"/>
      <c r="N36" s="34"/>
      <c r="O36" s="34"/>
      <c r="P36" s="34"/>
    </row>
    <row r="37" ht="15.75" customHeight="1">
      <c r="A37" s="169" t="s">
        <v>159</v>
      </c>
      <c r="C37" s="153"/>
      <c r="D37" s="194" t="s">
        <v>143</v>
      </c>
      <c r="E37" s="195">
        <f>H19</f>
        <v>40</v>
      </c>
      <c r="F37" s="34"/>
      <c r="G37" s="192" t="s">
        <v>251</v>
      </c>
      <c r="L37" s="34"/>
      <c r="M37" s="34"/>
      <c r="N37" s="34"/>
      <c r="O37" s="34"/>
      <c r="P37" s="34"/>
    </row>
    <row r="38" ht="15.75" customHeight="1">
      <c r="A38" s="169" t="s">
        <v>254</v>
      </c>
      <c r="C38" s="153"/>
      <c r="D38" s="198" t="s">
        <v>255</v>
      </c>
      <c r="E38" s="200">
        <f>E37/E7</f>
        <v>0.04</v>
      </c>
      <c r="F38" s="34"/>
      <c r="G38" s="192" t="s">
        <v>258</v>
      </c>
      <c r="L38" s="34"/>
      <c r="M38" s="34"/>
      <c r="N38" s="34"/>
      <c r="O38" s="34"/>
      <c r="P38" s="34"/>
    </row>
    <row r="39" ht="15.75" customHeight="1">
      <c r="A39" s="169" t="s">
        <v>259</v>
      </c>
      <c r="C39" s="153"/>
      <c r="D39" s="203" t="s">
        <v>260</v>
      </c>
      <c r="E39" s="195">
        <v>35.0</v>
      </c>
      <c r="F39" s="34"/>
      <c r="G39" s="192" t="s">
        <v>261</v>
      </c>
      <c r="L39" s="34"/>
      <c r="M39" s="34"/>
      <c r="N39" s="34"/>
      <c r="O39" s="34"/>
      <c r="P39" s="34"/>
    </row>
    <row r="40" ht="15.75" customHeight="1">
      <c r="A40" s="169" t="s">
        <v>262</v>
      </c>
      <c r="C40" s="153"/>
      <c r="D40" s="205" t="s">
        <v>255</v>
      </c>
      <c r="E40" s="207">
        <f>E39/E7</f>
        <v>0.035</v>
      </c>
      <c r="F40" s="34"/>
      <c r="G40" s="192" t="s">
        <v>265</v>
      </c>
      <c r="L40" s="34"/>
      <c r="M40" s="34"/>
      <c r="N40" s="34"/>
      <c r="O40" s="34"/>
      <c r="P40" s="34"/>
    </row>
    <row r="41" ht="15.75" customHeight="1">
      <c r="A41" s="169" t="s">
        <v>266</v>
      </c>
      <c r="C41" s="153"/>
      <c r="D41" s="192" t="s">
        <v>267</v>
      </c>
      <c r="F41" s="34"/>
      <c r="G41" s="192" t="s">
        <v>268</v>
      </c>
      <c r="L41" s="34"/>
      <c r="M41" s="34"/>
      <c r="N41" s="34"/>
      <c r="O41" s="34"/>
      <c r="P41" s="34"/>
    </row>
    <row r="42" ht="15.75" customHeight="1">
      <c r="A42" s="169" t="s">
        <v>270</v>
      </c>
      <c r="C42" s="153"/>
      <c r="D42" s="192" t="s">
        <v>272</v>
      </c>
      <c r="F42" s="34"/>
      <c r="G42" s="192" t="s">
        <v>273</v>
      </c>
      <c r="L42" s="34"/>
      <c r="M42" s="34"/>
      <c r="N42" s="34"/>
      <c r="O42" s="34"/>
      <c r="P42" s="34"/>
    </row>
    <row r="43" ht="15.75" customHeight="1">
      <c r="A43" s="169" t="s">
        <v>274</v>
      </c>
      <c r="C43" s="176"/>
      <c r="D43" s="192" t="s">
        <v>275</v>
      </c>
      <c r="F43" s="34"/>
      <c r="G43" s="192"/>
      <c r="L43" s="34"/>
      <c r="M43" s="34"/>
      <c r="N43" s="34"/>
      <c r="O43" s="34"/>
      <c r="P43" s="34"/>
    </row>
    <row r="44" ht="15.75" customHeight="1">
      <c r="A44" s="169" t="s">
        <v>276</v>
      </c>
      <c r="C44" s="176"/>
      <c r="D44" s="192" t="s">
        <v>277</v>
      </c>
      <c r="F44" s="34"/>
      <c r="G44" s="192"/>
    </row>
    <row r="45" ht="15.75" customHeight="1">
      <c r="A45" s="169" t="s">
        <v>280</v>
      </c>
      <c r="C45" s="176"/>
      <c r="D45" s="192" t="s">
        <v>281</v>
      </c>
      <c r="F45" s="34"/>
      <c r="G45" s="34"/>
      <c r="H45" s="34"/>
    </row>
    <row r="46" ht="15.75" customHeight="1">
      <c r="A46" s="169" t="s">
        <v>284</v>
      </c>
      <c r="D46" s="211"/>
      <c r="E46" s="211"/>
      <c r="F46" s="34"/>
      <c r="G46" s="34"/>
      <c r="H46" s="34"/>
      <c r="I46" s="34"/>
      <c r="J46" s="34"/>
    </row>
    <row r="47" ht="15.75" customHeight="1">
      <c r="A47" s="169" t="s">
        <v>285</v>
      </c>
      <c r="D47" s="213"/>
      <c r="E47" s="213"/>
      <c r="F47" s="213"/>
      <c r="G47" s="34"/>
      <c r="H47" s="34"/>
      <c r="I47" s="34"/>
      <c r="J47" s="34"/>
    </row>
    <row r="48" ht="15.75" customHeight="1">
      <c r="A48" s="169" t="s">
        <v>286</v>
      </c>
      <c r="D48" s="213"/>
      <c r="E48" s="213"/>
      <c r="F48" s="213"/>
      <c r="G48" s="34"/>
      <c r="H48" s="34"/>
      <c r="I48" s="34"/>
      <c r="J48" s="34"/>
    </row>
    <row r="49" ht="15.75" customHeight="1">
      <c r="A49" s="169" t="s">
        <v>288</v>
      </c>
      <c r="D49" s="213"/>
      <c r="E49" s="213"/>
      <c r="F49" s="213"/>
      <c r="G49" s="34"/>
      <c r="H49" s="34"/>
      <c r="I49" s="34"/>
      <c r="J49" s="34"/>
    </row>
    <row r="50" ht="15.75" customHeight="1">
      <c r="A50" s="169" t="s">
        <v>291</v>
      </c>
      <c r="D50" s="213"/>
      <c r="E50" s="213"/>
      <c r="F50" s="213"/>
      <c r="G50" s="34"/>
      <c r="H50" s="34"/>
      <c r="I50" s="34"/>
      <c r="J50" s="34"/>
    </row>
    <row r="51" ht="15.75" customHeight="1">
      <c r="A51" s="169" t="s">
        <v>292</v>
      </c>
      <c r="D51" s="213"/>
      <c r="E51" s="213"/>
      <c r="F51" s="213"/>
      <c r="G51" s="34"/>
      <c r="H51" s="34"/>
      <c r="I51" s="34"/>
      <c r="J51" s="34"/>
    </row>
    <row r="52" ht="15.75" customHeight="1">
      <c r="A52" s="169"/>
      <c r="B52" s="169"/>
      <c r="D52" s="213"/>
      <c r="E52" s="213"/>
      <c r="F52" s="213"/>
      <c r="G52" s="34"/>
      <c r="H52" s="34"/>
      <c r="I52" s="34"/>
      <c r="J52" s="34"/>
    </row>
    <row r="53" ht="15.75" customHeight="1">
      <c r="A53" s="32" t="s">
        <v>289</v>
      </c>
      <c r="B53" s="3"/>
      <c r="D53" s="213"/>
      <c r="E53" s="213"/>
      <c r="F53" s="213"/>
      <c r="G53" s="34"/>
      <c r="H53" s="34"/>
      <c r="I53" s="34"/>
      <c r="J53" s="34"/>
    </row>
    <row r="54" ht="15.75" customHeight="1">
      <c r="A54" s="47" t="s">
        <v>32</v>
      </c>
      <c r="B54" s="7"/>
      <c r="D54" s="216"/>
      <c r="E54" s="216"/>
      <c r="F54" s="34"/>
      <c r="G54" s="34"/>
      <c r="H54" s="34"/>
      <c r="I54" s="34"/>
      <c r="J54" s="34"/>
    </row>
    <row r="55" ht="15.75" customHeight="1">
      <c r="A55" s="41" t="s">
        <v>295</v>
      </c>
      <c r="B55" s="217">
        <f>B36/B56</f>
        <v>0.64992</v>
      </c>
      <c r="D55" s="216"/>
      <c r="E55" s="216"/>
      <c r="F55" s="34"/>
      <c r="G55" s="34"/>
      <c r="H55" s="34"/>
      <c r="I55" s="34"/>
      <c r="J55" s="34"/>
    </row>
    <row r="56" ht="15.75" customHeight="1">
      <c r="A56" s="58" t="s">
        <v>297</v>
      </c>
      <c r="B56" s="179">
        <f>E7</f>
        <v>1000</v>
      </c>
      <c r="D56" s="216"/>
      <c r="E56" s="216"/>
      <c r="F56" s="34"/>
      <c r="G56" s="34"/>
      <c r="H56" s="34"/>
      <c r="I56" s="34"/>
      <c r="J56" s="34"/>
    </row>
    <row r="57" ht="15.75" customHeight="1">
      <c r="A57" s="218" t="s">
        <v>298</v>
      </c>
      <c r="B57" s="219">
        <f>B36/B58</f>
        <v>4.3328</v>
      </c>
      <c r="D57" s="216"/>
      <c r="E57" s="216"/>
      <c r="F57" s="34"/>
      <c r="G57" s="34"/>
      <c r="H57" s="34"/>
      <c r="I57" s="34"/>
      <c r="J57" s="34"/>
    </row>
    <row r="58" ht="15.75" customHeight="1">
      <c r="A58" s="58" t="s">
        <v>297</v>
      </c>
      <c r="B58" s="179">
        <f>H20+40</f>
        <v>150</v>
      </c>
      <c r="D58" s="216"/>
      <c r="E58" s="216"/>
      <c r="F58" s="34"/>
      <c r="G58" s="34"/>
      <c r="H58" s="34"/>
      <c r="I58" s="34"/>
      <c r="J58" s="34"/>
    </row>
    <row r="59" ht="15.75" customHeight="1">
      <c r="A59" s="72" t="s">
        <v>301</v>
      </c>
      <c r="B59" s="219">
        <f>B36/B60</f>
        <v>9.284571429</v>
      </c>
      <c r="G59" s="34"/>
      <c r="H59" s="34"/>
      <c r="I59" s="34"/>
      <c r="J59" s="34"/>
    </row>
    <row r="60" ht="15.75" customHeight="1">
      <c r="A60" s="58" t="s">
        <v>297</v>
      </c>
      <c r="B60" s="179">
        <f>H16</f>
        <v>70</v>
      </c>
      <c r="G60" s="34"/>
      <c r="H60" s="34"/>
      <c r="I60" s="34"/>
      <c r="J60" s="34"/>
    </row>
    <row r="61" ht="15.75" customHeight="1">
      <c r="A61" s="72" t="s">
        <v>302</v>
      </c>
      <c r="B61" s="219">
        <f>B23/B62</f>
        <v>15.47428571</v>
      </c>
      <c r="G61" s="34"/>
      <c r="H61" s="34"/>
      <c r="I61" s="34"/>
      <c r="J61" s="34"/>
    </row>
    <row r="62" ht="15.75" customHeight="1">
      <c r="A62" s="82" t="s">
        <v>297</v>
      </c>
      <c r="B62" s="89">
        <f>H31</f>
        <v>1.75</v>
      </c>
      <c r="G62" s="34"/>
      <c r="H62" s="34"/>
      <c r="I62" s="34"/>
      <c r="J62" s="34"/>
    </row>
    <row r="63" ht="15.75" customHeight="1">
      <c r="A63" s="169" t="s">
        <v>159</v>
      </c>
      <c r="G63" s="34"/>
      <c r="H63" s="34"/>
      <c r="I63" s="34"/>
      <c r="J63" s="34"/>
    </row>
    <row r="64" ht="15.75" customHeight="1">
      <c r="A64" s="169" t="s">
        <v>305</v>
      </c>
      <c r="G64" s="34"/>
      <c r="H64" s="34"/>
      <c r="I64" s="34"/>
      <c r="J64" s="34"/>
    </row>
    <row r="65" ht="15.75" customHeight="1">
      <c r="A65" s="169" t="s">
        <v>306</v>
      </c>
      <c r="D65" s="34"/>
      <c r="E65" s="34"/>
      <c r="F65" s="34"/>
      <c r="G65" s="34"/>
      <c r="H65" s="34"/>
      <c r="I65" s="34"/>
      <c r="J65" s="34"/>
    </row>
    <row r="66" ht="15.75" customHeight="1">
      <c r="A66" s="169" t="s">
        <v>307</v>
      </c>
      <c r="D66" s="34"/>
      <c r="E66" s="34"/>
      <c r="F66" s="34"/>
      <c r="G66" s="34"/>
      <c r="H66" s="34"/>
      <c r="I66" s="34"/>
      <c r="J66" s="34"/>
    </row>
    <row r="67" ht="15.75" customHeight="1">
      <c r="A67" s="169" t="s">
        <v>308</v>
      </c>
      <c r="D67" s="34"/>
      <c r="E67" s="34"/>
      <c r="F67" s="34"/>
      <c r="G67" s="34"/>
      <c r="H67" s="34"/>
      <c r="I67" s="34"/>
      <c r="J67" s="34"/>
    </row>
    <row r="68" ht="15.75" customHeight="1">
      <c r="A68" s="169" t="s">
        <v>309</v>
      </c>
      <c r="D68" s="34"/>
      <c r="E68" s="34"/>
      <c r="F68" s="34"/>
      <c r="G68" s="34"/>
      <c r="H68" s="34"/>
      <c r="I68" s="34"/>
      <c r="J68" s="34"/>
    </row>
    <row r="69" ht="15.75" customHeight="1">
      <c r="A69" s="169" t="s">
        <v>311</v>
      </c>
      <c r="D69" s="34"/>
      <c r="E69" s="34"/>
      <c r="F69" s="34"/>
      <c r="G69" s="34"/>
      <c r="H69" s="34"/>
      <c r="I69" s="34"/>
      <c r="J69" s="34"/>
    </row>
    <row r="70" ht="15.75" customHeight="1">
      <c r="A70" s="169" t="s">
        <v>313</v>
      </c>
      <c r="D70" s="34"/>
      <c r="E70" s="34"/>
      <c r="F70" s="34"/>
      <c r="G70" s="34"/>
      <c r="H70" s="34"/>
      <c r="I70" s="34"/>
      <c r="J70" s="34"/>
    </row>
    <row r="71" ht="15.75" customHeight="1">
      <c r="A71" s="169" t="s">
        <v>314</v>
      </c>
      <c r="D71" s="34"/>
      <c r="E71" s="34"/>
      <c r="F71" s="34"/>
      <c r="G71" s="34"/>
      <c r="H71" s="34"/>
      <c r="I71" s="34"/>
      <c r="J71" s="34"/>
    </row>
    <row r="72" ht="15.75" customHeight="1">
      <c r="A72" s="169" t="s">
        <v>315</v>
      </c>
      <c r="D72" s="34"/>
      <c r="E72" s="34"/>
      <c r="F72" s="34"/>
      <c r="G72" s="34"/>
      <c r="H72" s="34"/>
      <c r="I72" s="34"/>
      <c r="J72" s="34"/>
    </row>
    <row r="73" ht="15.75" customHeight="1">
      <c r="A73" s="169" t="s">
        <v>316</v>
      </c>
      <c r="D73" s="34"/>
      <c r="E73" s="34"/>
      <c r="F73" s="34"/>
      <c r="G73" s="34"/>
      <c r="H73" s="34"/>
      <c r="I73" s="34"/>
      <c r="J73" s="34"/>
    </row>
    <row r="74" ht="15.75" customHeight="1">
      <c r="A74" s="169" t="s">
        <v>318</v>
      </c>
      <c r="D74" s="34"/>
      <c r="E74" s="34"/>
      <c r="F74" s="34"/>
      <c r="G74" s="34"/>
      <c r="H74" s="34"/>
      <c r="I74" s="34"/>
      <c r="J74" s="34"/>
    </row>
    <row r="75" ht="15.75" customHeight="1">
      <c r="A75" s="169" t="s">
        <v>321</v>
      </c>
      <c r="D75" s="34"/>
      <c r="E75" s="34"/>
      <c r="F75" s="34"/>
      <c r="G75" s="34"/>
      <c r="H75" s="34"/>
      <c r="I75" s="34"/>
      <c r="J75" s="34"/>
    </row>
    <row r="76" ht="15.75" customHeight="1">
      <c r="A76" s="169" t="s">
        <v>325</v>
      </c>
      <c r="D76" s="34"/>
      <c r="E76" s="34"/>
      <c r="F76" s="34"/>
      <c r="G76" s="34"/>
      <c r="H76" s="34"/>
      <c r="I76" s="34"/>
      <c r="J76" s="34"/>
    </row>
    <row r="77" ht="15.75" customHeight="1">
      <c r="A77" s="192" t="s">
        <v>329</v>
      </c>
      <c r="D77" s="34"/>
      <c r="E77" s="34"/>
      <c r="F77" s="34"/>
      <c r="G77" s="34"/>
      <c r="H77" s="34"/>
      <c r="I77" s="34"/>
      <c r="J77" s="34"/>
    </row>
    <row r="78" ht="15.75" customHeight="1">
      <c r="A78" s="192" t="s">
        <v>331</v>
      </c>
      <c r="D78" s="34"/>
      <c r="E78" s="34"/>
      <c r="F78" s="34"/>
      <c r="G78" s="34"/>
      <c r="H78" s="34"/>
      <c r="I78" s="34"/>
      <c r="J78" s="34"/>
    </row>
    <row r="79" ht="15.75" customHeight="1">
      <c r="A79" s="192" t="s">
        <v>332</v>
      </c>
      <c r="D79" s="34"/>
      <c r="E79" s="34"/>
      <c r="F79" s="34"/>
      <c r="G79" s="34"/>
      <c r="H79" s="34"/>
      <c r="I79" s="34"/>
      <c r="J79" s="34"/>
    </row>
    <row r="80" ht="15.75" customHeight="1">
      <c r="A80" s="192" t="s">
        <v>335</v>
      </c>
      <c r="D80" s="34"/>
      <c r="E80" s="34"/>
      <c r="F80" s="34"/>
      <c r="G80" s="34"/>
      <c r="H80" s="34"/>
      <c r="I80" s="34"/>
      <c r="J80" s="34"/>
    </row>
    <row r="81" ht="15.75" customHeight="1">
      <c r="A81" s="192" t="s">
        <v>337</v>
      </c>
      <c r="D81" s="34"/>
      <c r="E81" s="34"/>
      <c r="F81" s="34"/>
      <c r="G81" s="34"/>
      <c r="H81" s="34"/>
      <c r="I81" s="34"/>
      <c r="J81" s="34"/>
    </row>
    <row r="82" ht="15.75" customHeight="1">
      <c r="A82" s="192" t="s">
        <v>339</v>
      </c>
      <c r="D82" s="226"/>
      <c r="E82" s="226"/>
      <c r="F82" s="226"/>
      <c r="G82" s="226"/>
      <c r="H82" s="226"/>
      <c r="I82" s="34"/>
      <c r="J82" s="34"/>
    </row>
    <row r="83" ht="15.75" customHeight="1">
      <c r="A83" s="211"/>
      <c r="B83" s="211"/>
      <c r="G83" s="226"/>
      <c r="H83" s="226"/>
      <c r="I83" s="34"/>
      <c r="J83" s="34"/>
    </row>
    <row r="84" ht="15.75" customHeight="1">
      <c r="G84" s="34"/>
      <c r="H84" s="34"/>
      <c r="I84" s="34"/>
      <c r="J84" s="34"/>
    </row>
    <row r="85" ht="15.75" customHeight="1">
      <c r="G85" s="34"/>
      <c r="H85" s="34"/>
      <c r="I85" s="34"/>
      <c r="J85" s="34"/>
    </row>
    <row r="86" ht="15.75" customHeight="1">
      <c r="G86" s="34"/>
      <c r="H86" s="34"/>
      <c r="I86" s="34"/>
      <c r="J86" s="34"/>
    </row>
    <row r="87" ht="15.75" customHeight="1">
      <c r="G87" s="34"/>
      <c r="H87" s="34"/>
      <c r="I87" s="34"/>
      <c r="J87" s="34"/>
    </row>
    <row r="88" ht="15.75" customHeight="1">
      <c r="G88" s="34"/>
      <c r="H88" s="34"/>
      <c r="I88" s="34"/>
      <c r="J88" s="34"/>
    </row>
    <row r="89" ht="15.75" customHeight="1">
      <c r="A89" s="34"/>
      <c r="B89" s="34"/>
      <c r="D89" s="34"/>
      <c r="E89" s="34"/>
      <c r="F89" s="34"/>
      <c r="G89" s="34"/>
      <c r="H89" s="34"/>
      <c r="I89" s="34"/>
      <c r="J89" s="34"/>
    </row>
    <row r="90" ht="15.75" customHeight="1">
      <c r="A90" s="34"/>
      <c r="B90" s="34"/>
      <c r="D90" s="34"/>
      <c r="E90" s="34"/>
      <c r="F90" s="34"/>
      <c r="G90" s="34"/>
      <c r="H90" s="34"/>
      <c r="I90" s="34"/>
      <c r="J90" s="34"/>
    </row>
    <row r="91" ht="15.75" customHeight="1">
      <c r="A91" s="34"/>
      <c r="B91" s="34"/>
      <c r="D91" s="34"/>
      <c r="E91" s="34"/>
      <c r="F91" s="34"/>
      <c r="G91" s="34"/>
      <c r="H91" s="34"/>
      <c r="I91" s="34"/>
      <c r="J91" s="34"/>
    </row>
    <row r="92" ht="15.75" customHeight="1">
      <c r="A92" s="34"/>
      <c r="B92" s="34"/>
      <c r="D92" s="34"/>
      <c r="E92" s="34"/>
      <c r="F92" s="34"/>
      <c r="G92" s="34"/>
      <c r="H92" s="34"/>
      <c r="I92" s="34"/>
      <c r="J92" s="34"/>
    </row>
    <row r="93" ht="15.75" customHeight="1">
      <c r="A93" s="34"/>
      <c r="B93" s="34"/>
      <c r="D93" s="34"/>
      <c r="E93" s="34"/>
      <c r="F93" s="34"/>
      <c r="G93" s="34"/>
      <c r="H93" s="34"/>
      <c r="I93" s="34"/>
      <c r="J93" s="34"/>
    </row>
    <row r="94" ht="15.75" customHeight="1">
      <c r="A94" s="34"/>
      <c r="B94" s="34"/>
      <c r="D94" s="34"/>
      <c r="E94" s="34"/>
      <c r="F94" s="34"/>
      <c r="G94" s="34"/>
      <c r="H94" s="34"/>
      <c r="I94" s="34"/>
      <c r="J94" s="34"/>
    </row>
    <row r="95" ht="15.75" customHeight="1">
      <c r="A95" s="34"/>
      <c r="B95" s="34"/>
      <c r="D95" s="34"/>
      <c r="E95" s="34"/>
      <c r="F95" s="34"/>
      <c r="G95" s="34"/>
      <c r="H95" s="34"/>
      <c r="I95" s="34"/>
      <c r="J95" s="34"/>
    </row>
    <row r="96" ht="15.75" customHeight="1">
      <c r="A96" s="34"/>
      <c r="B96" s="34"/>
      <c r="D96" s="34"/>
      <c r="E96" s="34"/>
      <c r="F96" s="34"/>
      <c r="G96" s="34"/>
      <c r="H96" s="34"/>
      <c r="I96" s="34"/>
      <c r="J96" s="34"/>
    </row>
    <row r="97" ht="15.75" customHeight="1">
      <c r="A97" s="34"/>
      <c r="B97" s="34"/>
      <c r="D97" s="34"/>
      <c r="E97" s="34"/>
      <c r="F97" s="34"/>
      <c r="G97" s="34"/>
      <c r="H97" s="34"/>
      <c r="I97" s="34"/>
      <c r="J97" s="34"/>
    </row>
    <row r="98" ht="15.75" customHeight="1">
      <c r="A98" s="34"/>
      <c r="B98" s="34"/>
      <c r="D98" s="34"/>
      <c r="E98" s="34"/>
      <c r="F98" s="34"/>
      <c r="G98" s="34"/>
      <c r="H98" s="34"/>
      <c r="I98" s="34"/>
      <c r="J98" s="34"/>
    </row>
    <row r="99" ht="15.75" customHeight="1">
      <c r="A99" s="34"/>
      <c r="B99" s="34"/>
      <c r="D99" s="34"/>
      <c r="E99" s="34"/>
      <c r="F99" s="34"/>
      <c r="G99" s="34"/>
      <c r="H99" s="34"/>
      <c r="I99" s="34"/>
      <c r="J99" s="34"/>
    </row>
    <row r="100" ht="15.75" customHeight="1">
      <c r="D100" s="34"/>
      <c r="E100" s="34"/>
      <c r="F100" s="34"/>
      <c r="G100" s="34"/>
      <c r="H100" s="34"/>
      <c r="I100" s="34"/>
      <c r="J100" s="34"/>
    </row>
    <row r="101" ht="15.75" customHeight="1">
      <c r="D101" s="34"/>
      <c r="E101" s="34"/>
      <c r="F101" s="34"/>
      <c r="G101" s="34"/>
      <c r="H101" s="34"/>
      <c r="I101" s="34"/>
      <c r="J101" s="34"/>
    </row>
    <row r="102" ht="15.75" customHeight="1">
      <c r="D102" s="34"/>
      <c r="E102" s="34"/>
      <c r="F102" s="34"/>
      <c r="G102" s="34"/>
      <c r="H102" s="34"/>
      <c r="I102" s="34"/>
      <c r="J102" s="34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4">
    <mergeCell ref="A1:N1"/>
    <mergeCell ref="A2:N2"/>
    <mergeCell ref="A4:B4"/>
    <mergeCell ref="D4:E4"/>
    <mergeCell ref="G4:H4"/>
    <mergeCell ref="D5:E5"/>
    <mergeCell ref="G5:H5"/>
    <mergeCell ref="J4:N4"/>
    <mergeCell ref="J5:N5"/>
    <mergeCell ref="J6:N6"/>
    <mergeCell ref="J7:N7"/>
    <mergeCell ref="J8:N8"/>
    <mergeCell ref="J10:N10"/>
    <mergeCell ref="J11:N11"/>
    <mergeCell ref="J12:N12"/>
    <mergeCell ref="J13:N13"/>
    <mergeCell ref="J14:N14"/>
    <mergeCell ref="J16:N16"/>
    <mergeCell ref="J17:N17"/>
    <mergeCell ref="J18:N18"/>
    <mergeCell ref="J19:N19"/>
    <mergeCell ref="J20:N20"/>
    <mergeCell ref="A21:B21"/>
    <mergeCell ref="J21:N21"/>
    <mergeCell ref="A22:B22"/>
    <mergeCell ref="J22:N22"/>
    <mergeCell ref="D23:E23"/>
    <mergeCell ref="J24:L24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G32:H32"/>
    <mergeCell ref="G33:H33"/>
    <mergeCell ref="D34:E34"/>
    <mergeCell ref="G34:H34"/>
    <mergeCell ref="D35:E35"/>
    <mergeCell ref="A39:B39"/>
    <mergeCell ref="A40:B40"/>
    <mergeCell ref="A41:B41"/>
    <mergeCell ref="A81:B81"/>
    <mergeCell ref="A82:B82"/>
    <mergeCell ref="A74:B74"/>
    <mergeCell ref="A75:B75"/>
    <mergeCell ref="A76:B76"/>
    <mergeCell ref="A77:B77"/>
    <mergeCell ref="A78:B78"/>
    <mergeCell ref="A79:B79"/>
    <mergeCell ref="A80:B80"/>
    <mergeCell ref="G35:H35"/>
    <mergeCell ref="G36:H36"/>
    <mergeCell ref="A37:B37"/>
    <mergeCell ref="G37:H37"/>
    <mergeCell ref="A38:B38"/>
    <mergeCell ref="G38:H38"/>
    <mergeCell ref="G39:H39"/>
    <mergeCell ref="G42:H42"/>
    <mergeCell ref="G43:H43"/>
    <mergeCell ref="D43:E43"/>
    <mergeCell ref="D44:E44"/>
    <mergeCell ref="D45:E45"/>
    <mergeCell ref="G40:H40"/>
    <mergeCell ref="D41:E41"/>
    <mergeCell ref="G41:H41"/>
    <mergeCell ref="A42:B42"/>
    <mergeCell ref="D42:E42"/>
    <mergeCell ref="A43:B43"/>
    <mergeCell ref="G44:H44"/>
    <mergeCell ref="A44:B44"/>
    <mergeCell ref="A45:B45"/>
    <mergeCell ref="A46:B46"/>
    <mergeCell ref="A47:B47"/>
    <mergeCell ref="A48:B48"/>
    <mergeCell ref="A49:B49"/>
    <mergeCell ref="A50:B50"/>
    <mergeCell ref="A51:B51"/>
    <mergeCell ref="A53:B53"/>
    <mergeCell ref="A54:B54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32.13"/>
    <col customWidth="1" min="3" max="3" width="5.25"/>
    <col customWidth="1" min="4" max="4" width="29.0"/>
    <col customWidth="1" min="5" max="5" width="12.63"/>
    <col customWidth="1" min="6" max="6" width="20.25"/>
    <col customWidth="1" min="7" max="7" width="22.5"/>
    <col customWidth="1" min="8" max="8" width="22.13"/>
    <col customWidth="1" min="9" max="9" width="5.38"/>
    <col customWidth="1" min="10" max="13" width="12.63"/>
    <col customWidth="1" min="14" max="14" width="13.75"/>
    <col customWidth="1" min="15" max="16" width="12.63"/>
  </cols>
  <sheetData>
    <row r="1" ht="15.75" customHeight="1">
      <c r="A1" s="21" t="s">
        <v>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</row>
    <row r="2" ht="15.75" customHeight="1">
      <c r="A2" s="2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8"/>
      <c r="P2" s="8"/>
    </row>
    <row r="3" ht="15.75" customHeight="1"/>
    <row r="4" ht="15.75" customHeight="1">
      <c r="A4" s="36" t="s">
        <v>13</v>
      </c>
      <c r="B4" s="27"/>
      <c r="D4" s="38" t="s">
        <v>21</v>
      </c>
      <c r="E4" s="2"/>
      <c r="F4" s="2"/>
      <c r="G4" s="2"/>
      <c r="H4" s="3"/>
      <c r="I4" s="34"/>
      <c r="J4" s="36" t="s">
        <v>23</v>
      </c>
      <c r="K4" s="37"/>
      <c r="L4" s="37"/>
      <c r="M4" s="37"/>
      <c r="N4" s="27"/>
      <c r="O4" s="34"/>
      <c r="P4" s="34"/>
    </row>
    <row r="5" ht="15.75" customHeight="1">
      <c r="A5" s="41" t="s">
        <v>10</v>
      </c>
      <c r="B5" s="44" t="s">
        <v>31</v>
      </c>
      <c r="D5" s="48" t="s">
        <v>32</v>
      </c>
      <c r="E5" s="6"/>
      <c r="F5" s="6"/>
      <c r="G5" s="6"/>
      <c r="H5" s="7"/>
      <c r="I5" s="52"/>
      <c r="J5" s="54" t="s">
        <v>50</v>
      </c>
      <c r="K5" s="2"/>
      <c r="L5" s="2"/>
      <c r="M5" s="2"/>
      <c r="N5" s="3"/>
      <c r="O5" s="34"/>
      <c r="P5" s="34"/>
    </row>
    <row r="6" ht="15.75" customHeight="1">
      <c r="A6" s="58" t="s">
        <v>57</v>
      </c>
      <c r="B6" s="75" t="s">
        <v>59</v>
      </c>
      <c r="D6" s="63"/>
      <c r="E6" s="67" t="s">
        <v>48</v>
      </c>
      <c r="F6" s="67" t="s">
        <v>51</v>
      </c>
      <c r="G6" s="67" t="s">
        <v>53</v>
      </c>
      <c r="H6" s="64" t="s">
        <v>63</v>
      </c>
      <c r="I6" s="65"/>
      <c r="J6" s="69" t="s">
        <v>64</v>
      </c>
      <c r="N6" s="70"/>
      <c r="O6" s="34"/>
      <c r="P6" s="34"/>
    </row>
    <row r="7" ht="15.75" customHeight="1">
      <c r="A7" s="58" t="s">
        <v>41</v>
      </c>
      <c r="B7" s="59" t="s">
        <v>42</v>
      </c>
      <c r="D7" s="72" t="s">
        <v>56</v>
      </c>
      <c r="E7" s="77">
        <v>1500.0</v>
      </c>
      <c r="F7" s="77">
        <v>1110.0</v>
      </c>
      <c r="G7" s="77">
        <v>1185.0</v>
      </c>
      <c r="H7" s="73">
        <f t="shared" ref="H7:H8" si="1">E7+G7-F7</f>
        <v>1575</v>
      </c>
      <c r="I7" s="74"/>
      <c r="J7" s="80" t="s">
        <v>74</v>
      </c>
      <c r="K7" s="6"/>
      <c r="L7" s="6"/>
      <c r="M7" s="6"/>
      <c r="N7" s="7"/>
      <c r="O7" s="34"/>
      <c r="P7" s="34"/>
    </row>
    <row r="8" ht="15.75" customHeight="1">
      <c r="A8" s="58" t="s">
        <v>54</v>
      </c>
      <c r="B8" s="59" t="s">
        <v>39</v>
      </c>
      <c r="D8" s="82" t="s">
        <v>69</v>
      </c>
      <c r="E8" s="84">
        <v>1170.0</v>
      </c>
      <c r="F8" s="84">
        <v>865.8</v>
      </c>
      <c r="G8" s="84">
        <v>924.3</v>
      </c>
      <c r="H8" s="89">
        <f t="shared" si="1"/>
        <v>1228.5</v>
      </c>
      <c r="I8" s="85"/>
      <c r="J8" s="91"/>
      <c r="K8" s="91"/>
      <c r="L8" s="91"/>
      <c r="M8" s="91"/>
      <c r="N8" s="91"/>
      <c r="O8" s="34"/>
      <c r="P8" s="34"/>
    </row>
    <row r="9" ht="15.75" customHeight="1">
      <c r="A9" s="72" t="s">
        <v>83</v>
      </c>
      <c r="B9" s="81">
        <v>46387.0</v>
      </c>
      <c r="D9" s="72" t="s">
        <v>77</v>
      </c>
      <c r="E9" s="77">
        <f t="shared" ref="E9:H9" si="2">E7-E8</f>
        <v>330</v>
      </c>
      <c r="F9" s="77">
        <f t="shared" si="2"/>
        <v>244.2</v>
      </c>
      <c r="G9" s="77">
        <f t="shared" si="2"/>
        <v>260.7</v>
      </c>
      <c r="H9" s="73">
        <f t="shared" si="2"/>
        <v>346.5</v>
      </c>
      <c r="I9" s="95"/>
      <c r="J9" s="38" t="s">
        <v>81</v>
      </c>
      <c r="K9" s="2"/>
      <c r="L9" s="2"/>
      <c r="M9" s="2"/>
      <c r="N9" s="3"/>
      <c r="O9" s="34"/>
      <c r="P9" s="34"/>
    </row>
    <row r="10" ht="15.75" customHeight="1">
      <c r="A10" s="58" t="s">
        <v>75</v>
      </c>
      <c r="B10" s="94">
        <v>0.25</v>
      </c>
      <c r="D10" s="58" t="s">
        <v>84</v>
      </c>
      <c r="E10" s="100">
        <v>165.0</v>
      </c>
      <c r="F10" s="100">
        <v>122.1</v>
      </c>
      <c r="G10" s="100">
        <v>130.35</v>
      </c>
      <c r="H10" s="105">
        <f>E10+G10-F10</f>
        <v>173.25</v>
      </c>
      <c r="I10" s="85"/>
      <c r="J10" s="54" t="s">
        <v>101</v>
      </c>
      <c r="K10" s="2"/>
      <c r="L10" s="2"/>
      <c r="M10" s="2"/>
      <c r="N10" s="3"/>
      <c r="O10" s="34"/>
      <c r="P10" s="34"/>
    </row>
    <row r="11" ht="15.75" customHeight="1">
      <c r="A11" s="58"/>
      <c r="B11" s="103"/>
      <c r="D11" s="82" t="s">
        <v>91</v>
      </c>
      <c r="E11" s="112" t="s">
        <v>72</v>
      </c>
      <c r="F11" s="112" t="s">
        <v>72</v>
      </c>
      <c r="G11" s="112" t="s">
        <v>72</v>
      </c>
      <c r="H11" s="115" t="s">
        <v>72</v>
      </c>
      <c r="I11" s="74"/>
      <c r="J11" s="69" t="s">
        <v>107</v>
      </c>
      <c r="N11" s="70"/>
      <c r="O11" s="34"/>
      <c r="P11" s="34"/>
    </row>
    <row r="12" ht="15.75" customHeight="1">
      <c r="A12" s="72" t="s">
        <v>9</v>
      </c>
      <c r="B12" s="120" t="s">
        <v>33</v>
      </c>
      <c r="D12" s="72" t="s">
        <v>97</v>
      </c>
      <c r="E12" s="77">
        <f t="shared" ref="E12:H12" si="3">E9-E10</f>
        <v>165</v>
      </c>
      <c r="F12" s="77">
        <f t="shared" si="3"/>
        <v>122.1</v>
      </c>
      <c r="G12" s="77">
        <f t="shared" si="3"/>
        <v>130.35</v>
      </c>
      <c r="H12" s="73">
        <f t="shared" si="3"/>
        <v>173.25</v>
      </c>
      <c r="I12" s="85"/>
      <c r="J12" s="79" t="s">
        <v>113</v>
      </c>
      <c r="N12" s="70"/>
      <c r="O12" s="34"/>
      <c r="P12" s="34"/>
    </row>
    <row r="13" ht="15.75" customHeight="1">
      <c r="A13" s="58" t="s">
        <v>54</v>
      </c>
      <c r="B13" s="59" t="s">
        <v>99</v>
      </c>
      <c r="D13" s="82" t="s">
        <v>116</v>
      </c>
      <c r="E13" s="112" t="s">
        <v>72</v>
      </c>
      <c r="F13" s="112" t="s">
        <v>72</v>
      </c>
      <c r="G13" s="112" t="s">
        <v>72</v>
      </c>
      <c r="H13" s="115" t="s">
        <v>72</v>
      </c>
      <c r="I13" s="85"/>
      <c r="J13" s="130" t="s">
        <v>117</v>
      </c>
      <c r="K13" s="6"/>
      <c r="L13" s="6"/>
      <c r="M13" s="6"/>
      <c r="N13" s="7"/>
      <c r="O13" s="34"/>
      <c r="P13" s="34"/>
    </row>
    <row r="14" ht="15.75" customHeight="1">
      <c r="A14" s="58" t="s">
        <v>108</v>
      </c>
      <c r="B14" s="128">
        <v>46387.0</v>
      </c>
      <c r="D14" s="72" t="s">
        <v>112</v>
      </c>
      <c r="E14" s="77">
        <f t="shared" ref="E14:H14" si="4">E12</f>
        <v>165</v>
      </c>
      <c r="F14" s="77">
        <f t="shared" si="4"/>
        <v>122.1</v>
      </c>
      <c r="G14" s="77">
        <f t="shared" si="4"/>
        <v>130.35</v>
      </c>
      <c r="H14" s="73">
        <f t="shared" si="4"/>
        <v>173.25</v>
      </c>
      <c r="I14" s="95"/>
      <c r="J14" s="95"/>
      <c r="L14" s="34"/>
      <c r="M14" s="34"/>
      <c r="N14" s="34"/>
      <c r="O14" s="34"/>
      <c r="P14" s="34"/>
    </row>
    <row r="15" ht="15.75" customHeight="1">
      <c r="A15" s="58"/>
      <c r="B15" s="103"/>
      <c r="D15" s="58" t="s">
        <v>125</v>
      </c>
      <c r="E15" s="100">
        <v>49.5</v>
      </c>
      <c r="F15" s="100">
        <v>36.63</v>
      </c>
      <c r="G15" s="100">
        <v>32.59</v>
      </c>
      <c r="H15" s="105">
        <f>E15+G15-F15</f>
        <v>45.46</v>
      </c>
      <c r="I15" s="85"/>
      <c r="J15" s="38" t="s">
        <v>122</v>
      </c>
      <c r="K15" s="2"/>
      <c r="L15" s="2"/>
      <c r="M15" s="2"/>
      <c r="N15" s="3"/>
      <c r="O15" s="34"/>
      <c r="P15" s="34"/>
    </row>
    <row r="16" ht="15.75" customHeight="1">
      <c r="A16" s="58" t="s">
        <v>8</v>
      </c>
      <c r="B16" s="133">
        <v>44554.0</v>
      </c>
      <c r="D16" s="58" t="s">
        <v>123</v>
      </c>
      <c r="E16" s="139" t="s">
        <v>72</v>
      </c>
      <c r="F16" s="139" t="s">
        <v>72</v>
      </c>
      <c r="G16" s="139" t="s">
        <v>72</v>
      </c>
      <c r="H16" s="136" t="s">
        <v>72</v>
      </c>
      <c r="I16" s="85"/>
      <c r="J16" s="54" t="s">
        <v>128</v>
      </c>
      <c r="K16" s="2"/>
      <c r="L16" s="2"/>
      <c r="M16" s="2"/>
      <c r="N16" s="3"/>
      <c r="O16" s="34"/>
      <c r="P16" s="34"/>
    </row>
    <row r="17" ht="15.75" customHeight="1">
      <c r="A17" s="58" t="s">
        <v>121</v>
      </c>
      <c r="B17" s="133">
        <v>44680.0</v>
      </c>
      <c r="D17" s="82" t="s">
        <v>127</v>
      </c>
      <c r="E17" s="140" t="s">
        <v>72</v>
      </c>
      <c r="F17" s="140" t="s">
        <v>72</v>
      </c>
      <c r="G17" s="140" t="s">
        <v>72</v>
      </c>
      <c r="H17" s="141" t="s">
        <v>72</v>
      </c>
      <c r="I17" s="95"/>
      <c r="J17" s="69" t="s">
        <v>131</v>
      </c>
      <c r="N17" s="70"/>
      <c r="O17" s="34"/>
      <c r="P17" s="34"/>
    </row>
    <row r="18" ht="15.75" customHeight="1">
      <c r="A18" s="58" t="s">
        <v>11</v>
      </c>
      <c r="B18" s="59" t="s">
        <v>38</v>
      </c>
      <c r="D18" s="72" t="s">
        <v>130</v>
      </c>
      <c r="E18" s="77">
        <f t="shared" ref="E18:H18" si="5">E14-E15</f>
        <v>115.5</v>
      </c>
      <c r="F18" s="77">
        <f t="shared" si="5"/>
        <v>85.47</v>
      </c>
      <c r="G18" s="77">
        <f t="shared" si="5"/>
        <v>97.76</v>
      </c>
      <c r="H18" s="73">
        <f t="shared" si="5"/>
        <v>127.79</v>
      </c>
      <c r="I18" s="143"/>
      <c r="J18" s="79" t="s">
        <v>138</v>
      </c>
      <c r="N18" s="70"/>
      <c r="O18" s="34"/>
      <c r="P18" s="34"/>
    </row>
    <row r="19" ht="15.75" customHeight="1">
      <c r="A19" s="58" t="s">
        <v>133</v>
      </c>
      <c r="B19" s="75" t="s">
        <v>140</v>
      </c>
      <c r="D19" s="144" t="s">
        <v>136</v>
      </c>
      <c r="E19" s="146">
        <v>0.3</v>
      </c>
      <c r="F19" s="146">
        <v>0.3</v>
      </c>
      <c r="G19" s="146">
        <v>0.25</v>
      </c>
      <c r="H19" s="148">
        <v>0.262</v>
      </c>
      <c r="J19" s="151" t="s">
        <v>141</v>
      </c>
      <c r="N19" s="70"/>
      <c r="O19" s="34"/>
      <c r="P19" s="34"/>
    </row>
    <row r="20" ht="15.75" customHeight="1">
      <c r="A20" s="82" t="s">
        <v>12</v>
      </c>
      <c r="B20" s="145" t="s">
        <v>139</v>
      </c>
      <c r="D20" s="58"/>
      <c r="E20" s="100"/>
      <c r="F20" s="100"/>
      <c r="G20" s="100"/>
      <c r="H20" s="105"/>
      <c r="I20" s="85"/>
      <c r="J20" s="152" t="s">
        <v>148</v>
      </c>
      <c r="N20" s="70"/>
      <c r="O20" s="34"/>
      <c r="P20" s="34"/>
    </row>
    <row r="21" ht="15.75" customHeight="1">
      <c r="B21" s="153"/>
      <c r="D21" s="82" t="s">
        <v>150</v>
      </c>
      <c r="E21" s="140" t="s">
        <v>39</v>
      </c>
      <c r="F21" s="140" t="s">
        <v>39</v>
      </c>
      <c r="G21" s="140" t="s">
        <v>39</v>
      </c>
      <c r="H21" s="141" t="s">
        <v>39</v>
      </c>
      <c r="I21" s="95"/>
      <c r="J21" s="69" t="s">
        <v>153</v>
      </c>
      <c r="N21" s="70"/>
      <c r="O21" s="34"/>
      <c r="P21" s="34"/>
    </row>
    <row r="22" ht="15.75" customHeight="1">
      <c r="A22" s="38" t="s">
        <v>155</v>
      </c>
      <c r="B22" s="3"/>
      <c r="D22" s="154" t="s">
        <v>154</v>
      </c>
      <c r="E22" s="155" t="s">
        <v>39</v>
      </c>
      <c r="F22" s="155" t="s">
        <v>39</v>
      </c>
      <c r="G22" s="155" t="s">
        <v>39</v>
      </c>
      <c r="H22" s="156" t="s">
        <v>39</v>
      </c>
      <c r="J22" s="69" t="s">
        <v>157</v>
      </c>
      <c r="N22" s="70"/>
      <c r="O22" s="34"/>
      <c r="P22" s="34"/>
    </row>
    <row r="23" ht="15.75" customHeight="1">
      <c r="A23" s="158" t="s">
        <v>32</v>
      </c>
      <c r="B23" s="70"/>
      <c r="D23" s="159" t="s">
        <v>159</v>
      </c>
      <c r="J23" s="161" t="s">
        <v>160</v>
      </c>
      <c r="K23" s="6"/>
      <c r="L23" s="6"/>
      <c r="M23" s="6"/>
      <c r="N23" s="7"/>
      <c r="O23" s="34"/>
      <c r="P23" s="34"/>
    </row>
    <row r="24" ht="15.75" customHeight="1">
      <c r="A24" s="63" t="s">
        <v>162</v>
      </c>
      <c r="B24" s="162" t="s">
        <v>39</v>
      </c>
      <c r="D24" s="159" t="s">
        <v>163</v>
      </c>
      <c r="L24" s="34"/>
      <c r="M24" s="34"/>
      <c r="N24" s="34"/>
      <c r="O24" s="34"/>
      <c r="P24" s="34"/>
    </row>
    <row r="25" ht="15.75" customHeight="1">
      <c r="A25" s="58" t="s">
        <v>164</v>
      </c>
      <c r="B25" s="165" t="s">
        <v>72</v>
      </c>
      <c r="D25" s="159" t="s">
        <v>165</v>
      </c>
      <c r="L25" s="34"/>
      <c r="M25" s="34"/>
      <c r="N25" s="34"/>
      <c r="O25" s="34"/>
      <c r="P25" s="34"/>
    </row>
    <row r="26" ht="15.75" customHeight="1">
      <c r="A26" s="58" t="s">
        <v>167</v>
      </c>
      <c r="B26" s="165" t="s">
        <v>72</v>
      </c>
      <c r="D26" s="159" t="s">
        <v>168</v>
      </c>
      <c r="L26" s="34"/>
      <c r="M26" s="34"/>
      <c r="N26" s="34"/>
      <c r="O26" s="34"/>
      <c r="P26" s="34"/>
    </row>
    <row r="27" ht="15.75" customHeight="1">
      <c r="A27" s="82" t="s">
        <v>170</v>
      </c>
      <c r="B27" s="115" t="s">
        <v>72</v>
      </c>
      <c r="D27" s="159" t="s">
        <v>171</v>
      </c>
      <c r="L27" s="34"/>
      <c r="M27" s="34"/>
      <c r="N27" s="34"/>
      <c r="O27" s="34"/>
      <c r="P27" s="34"/>
    </row>
    <row r="28" ht="15.75" customHeight="1">
      <c r="A28" s="72" t="s">
        <v>174</v>
      </c>
      <c r="B28" s="170" t="str">
        <f>B24</f>
        <v>N / A</v>
      </c>
      <c r="D28" s="159" t="s">
        <v>178</v>
      </c>
      <c r="L28" s="34"/>
      <c r="M28" s="34"/>
      <c r="N28" s="34"/>
      <c r="O28" s="34"/>
      <c r="P28" s="34"/>
    </row>
    <row r="29" ht="15.75" customHeight="1">
      <c r="A29" s="58"/>
      <c r="B29" s="103"/>
      <c r="D29" s="159" t="s">
        <v>180</v>
      </c>
      <c r="L29" s="34"/>
      <c r="M29" s="34"/>
      <c r="N29" s="34"/>
      <c r="O29" s="34"/>
      <c r="P29" s="34"/>
    </row>
    <row r="30" ht="15.75" customHeight="1">
      <c r="A30" s="171" t="s">
        <v>183</v>
      </c>
      <c r="B30" s="141" t="s">
        <v>39</v>
      </c>
      <c r="D30" s="159" t="s">
        <v>184</v>
      </c>
      <c r="L30" s="34"/>
      <c r="M30" s="34"/>
      <c r="N30" s="34"/>
      <c r="O30" s="34"/>
      <c r="P30" s="34"/>
    </row>
    <row r="31" ht="15.75" customHeight="1">
      <c r="A31" s="72" t="s">
        <v>186</v>
      </c>
      <c r="B31" s="120" t="s">
        <v>39</v>
      </c>
      <c r="L31" s="34"/>
      <c r="M31" s="34"/>
      <c r="N31" s="34"/>
      <c r="O31" s="34"/>
      <c r="P31" s="34"/>
    </row>
    <row r="32" ht="15.75" customHeight="1">
      <c r="A32" s="58"/>
      <c r="B32" s="103"/>
      <c r="D32" s="38" t="s">
        <v>24</v>
      </c>
      <c r="E32" s="2"/>
      <c r="F32" s="2"/>
      <c r="G32" s="2"/>
      <c r="H32" s="3"/>
      <c r="L32" s="34"/>
      <c r="M32" s="34"/>
      <c r="N32" s="34"/>
      <c r="O32" s="34"/>
      <c r="P32" s="34"/>
    </row>
    <row r="33" ht="15.75" customHeight="1">
      <c r="A33" s="58" t="s">
        <v>194</v>
      </c>
      <c r="B33" s="165" t="s">
        <v>72</v>
      </c>
      <c r="C33" s="176"/>
      <c r="D33" s="48" t="s">
        <v>32</v>
      </c>
      <c r="E33" s="6"/>
      <c r="F33" s="6"/>
      <c r="G33" s="6"/>
      <c r="H33" s="7"/>
      <c r="L33" s="34"/>
      <c r="M33" s="34"/>
      <c r="N33" s="34"/>
      <c r="O33" s="34"/>
      <c r="P33" s="34"/>
    </row>
    <row r="34" ht="15.75" customHeight="1">
      <c r="A34" s="58" t="s">
        <v>200</v>
      </c>
      <c r="B34" s="165" t="s">
        <v>72</v>
      </c>
      <c r="C34" s="153"/>
      <c r="D34" s="63"/>
      <c r="E34" s="67" t="s">
        <v>48</v>
      </c>
      <c r="F34" s="67" t="s">
        <v>51</v>
      </c>
      <c r="G34" s="67" t="s">
        <v>53</v>
      </c>
      <c r="H34" s="64" t="s">
        <v>202</v>
      </c>
      <c r="L34" s="34"/>
      <c r="M34" s="34"/>
      <c r="N34" s="34"/>
      <c r="O34" s="34"/>
      <c r="P34" s="34"/>
    </row>
    <row r="35" ht="15.75" customHeight="1">
      <c r="A35" s="58" t="s">
        <v>204</v>
      </c>
      <c r="B35" s="165" t="s">
        <v>72</v>
      </c>
      <c r="C35" s="153"/>
      <c r="D35" s="58" t="s">
        <v>61</v>
      </c>
      <c r="E35" s="178">
        <f t="shared" ref="E35:H35" si="6">E9</f>
        <v>330</v>
      </c>
      <c r="F35" s="178">
        <f t="shared" si="6"/>
        <v>244.2</v>
      </c>
      <c r="G35" s="178">
        <f t="shared" si="6"/>
        <v>260.7</v>
      </c>
      <c r="H35" s="179">
        <f t="shared" si="6"/>
        <v>346.5</v>
      </c>
      <c r="L35" s="34"/>
      <c r="M35" s="34"/>
      <c r="N35" s="34"/>
      <c r="O35" s="34"/>
      <c r="P35" s="34"/>
    </row>
    <row r="36" ht="15.75" customHeight="1">
      <c r="A36" s="82" t="s">
        <v>213</v>
      </c>
      <c r="B36" s="115" t="s">
        <v>72</v>
      </c>
      <c r="C36" s="153"/>
      <c r="D36" s="82" t="s">
        <v>71</v>
      </c>
      <c r="E36" s="181" t="s">
        <v>72</v>
      </c>
      <c r="F36" s="181" t="s">
        <v>72</v>
      </c>
      <c r="G36" s="181" t="s">
        <v>72</v>
      </c>
      <c r="H36" s="145" t="s">
        <v>72</v>
      </c>
      <c r="L36" s="34"/>
      <c r="M36" s="34"/>
      <c r="N36" s="34"/>
      <c r="O36" s="34"/>
      <c r="P36" s="34"/>
    </row>
    <row r="37" ht="15.75" customHeight="1">
      <c r="A37" s="154" t="s">
        <v>216</v>
      </c>
      <c r="B37" s="183">
        <v>1719.66</v>
      </c>
      <c r="C37" s="153"/>
      <c r="D37" s="72" t="s">
        <v>80</v>
      </c>
      <c r="E37" s="77">
        <f t="shared" ref="E37:H37" si="7">E35</f>
        <v>330</v>
      </c>
      <c r="F37" s="77">
        <f t="shared" si="7"/>
        <v>244.2</v>
      </c>
      <c r="G37" s="77">
        <f t="shared" si="7"/>
        <v>260.7</v>
      </c>
      <c r="H37" s="73">
        <f t="shared" si="7"/>
        <v>346.5</v>
      </c>
      <c r="L37" s="34"/>
      <c r="M37" s="34"/>
      <c r="N37" s="34"/>
      <c r="O37" s="34"/>
      <c r="P37" s="34"/>
    </row>
    <row r="38" ht="15.75" customHeight="1">
      <c r="A38" s="169" t="s">
        <v>159</v>
      </c>
      <c r="C38" s="153"/>
      <c r="D38" s="144" t="s">
        <v>88</v>
      </c>
      <c r="E38" s="146">
        <f t="shared" ref="E38:H38" si="8">E37/E7</f>
        <v>0.22</v>
      </c>
      <c r="F38" s="146">
        <f t="shared" si="8"/>
        <v>0.22</v>
      </c>
      <c r="G38" s="146">
        <f t="shared" si="8"/>
        <v>0.22</v>
      </c>
      <c r="H38" s="148">
        <f t="shared" si="8"/>
        <v>0.22</v>
      </c>
      <c r="L38" s="34"/>
      <c r="M38" s="34"/>
      <c r="N38" s="34"/>
      <c r="O38" s="34"/>
      <c r="P38" s="34"/>
    </row>
    <row r="39" ht="15.75" customHeight="1">
      <c r="A39" s="169" t="s">
        <v>222</v>
      </c>
      <c r="C39" s="153"/>
      <c r="D39" s="58"/>
      <c r="E39" s="186"/>
      <c r="F39" s="186"/>
      <c r="G39" s="186"/>
      <c r="H39" s="103"/>
      <c r="L39" s="34"/>
      <c r="M39" s="34"/>
      <c r="N39" s="34"/>
      <c r="O39" s="34"/>
      <c r="P39" s="34"/>
    </row>
    <row r="40" ht="15.75" customHeight="1">
      <c r="A40" s="169" t="s">
        <v>223</v>
      </c>
      <c r="C40" s="153"/>
      <c r="D40" s="58" t="s">
        <v>104</v>
      </c>
      <c r="E40" s="178">
        <f t="shared" ref="E40:H40" si="9">E12</f>
        <v>165</v>
      </c>
      <c r="F40" s="178">
        <f t="shared" si="9"/>
        <v>122.1</v>
      </c>
      <c r="G40" s="178">
        <f t="shared" si="9"/>
        <v>130.35</v>
      </c>
      <c r="H40" s="179">
        <f t="shared" si="9"/>
        <v>173.25</v>
      </c>
      <c r="L40" s="34"/>
      <c r="M40" s="34"/>
      <c r="N40" s="34"/>
      <c r="O40" s="34"/>
      <c r="P40" s="34"/>
    </row>
    <row r="41" ht="15.75" customHeight="1">
      <c r="A41" s="169" t="s">
        <v>226</v>
      </c>
      <c r="C41" s="153"/>
      <c r="D41" s="58" t="s">
        <v>71</v>
      </c>
      <c r="E41" s="190" t="s">
        <v>72</v>
      </c>
      <c r="F41" s="190" t="s">
        <v>72</v>
      </c>
      <c r="G41" s="190" t="s">
        <v>72</v>
      </c>
      <c r="H41" s="59" t="s">
        <v>72</v>
      </c>
      <c r="L41" s="34"/>
      <c r="M41" s="34"/>
      <c r="N41" s="34"/>
      <c r="O41" s="34"/>
      <c r="P41" s="34"/>
    </row>
    <row r="42" ht="15.75" customHeight="1">
      <c r="A42" s="169" t="s">
        <v>228</v>
      </c>
      <c r="C42" s="153"/>
      <c r="D42" s="191" t="s">
        <v>230</v>
      </c>
      <c r="E42" s="139">
        <v>12.0</v>
      </c>
      <c r="F42" s="139">
        <v>9.0</v>
      </c>
      <c r="G42" s="100">
        <v>9.0</v>
      </c>
      <c r="H42" s="105">
        <f>E42+G42-F42</f>
        <v>12</v>
      </c>
      <c r="L42" s="34"/>
      <c r="M42" s="34"/>
      <c r="N42" s="34"/>
      <c r="O42" s="34"/>
      <c r="P42" s="34"/>
    </row>
    <row r="43" ht="15.75" customHeight="1">
      <c r="A43" s="169" t="s">
        <v>235</v>
      </c>
      <c r="C43" s="176"/>
      <c r="D43" s="171" t="s">
        <v>237</v>
      </c>
      <c r="E43" s="84">
        <v>10.0</v>
      </c>
      <c r="F43" s="140" t="s">
        <v>72</v>
      </c>
      <c r="G43" s="84">
        <v>7.5</v>
      </c>
      <c r="H43" s="83">
        <f>E43+G43</f>
        <v>17.5</v>
      </c>
      <c r="L43" s="34"/>
      <c r="M43" s="34"/>
      <c r="N43" s="34"/>
      <c r="O43" s="34"/>
      <c r="P43" s="34"/>
    </row>
    <row r="44" ht="15.75" customHeight="1">
      <c r="A44" s="169" t="s">
        <v>243</v>
      </c>
      <c r="C44" s="176"/>
      <c r="D44" s="72" t="s">
        <v>124</v>
      </c>
      <c r="E44" s="77">
        <f>E40+E42+E43</f>
        <v>187</v>
      </c>
      <c r="F44" s="77">
        <f>F40+F42</f>
        <v>131.1</v>
      </c>
      <c r="G44" s="77">
        <f t="shared" ref="G44:H44" si="10">G40+G42+G43</f>
        <v>146.85</v>
      </c>
      <c r="H44" s="73">
        <f t="shared" si="10"/>
        <v>202.75</v>
      </c>
    </row>
    <row r="45" ht="15.75" customHeight="1">
      <c r="A45" s="169" t="s">
        <v>249</v>
      </c>
      <c r="C45" s="176"/>
      <c r="D45" s="144" t="s">
        <v>88</v>
      </c>
      <c r="E45" s="146">
        <f t="shared" ref="E45:H45" si="11">E44/E7</f>
        <v>0.1246666667</v>
      </c>
      <c r="F45" s="146">
        <f t="shared" si="11"/>
        <v>0.1181081081</v>
      </c>
      <c r="G45" s="146">
        <f t="shared" si="11"/>
        <v>0.1239240506</v>
      </c>
      <c r="H45" s="148">
        <f t="shared" si="11"/>
        <v>0.1287301587</v>
      </c>
    </row>
    <row r="46" ht="15.75" customHeight="1">
      <c r="A46" s="169" t="s">
        <v>252</v>
      </c>
      <c r="D46" s="196"/>
      <c r="E46" s="197"/>
      <c r="F46" s="197"/>
      <c r="G46" s="197"/>
      <c r="H46" s="199"/>
      <c r="I46" s="34"/>
      <c r="J46" s="34"/>
    </row>
    <row r="47" ht="15.75" customHeight="1">
      <c r="A47" s="169" t="s">
        <v>256</v>
      </c>
      <c r="D47" s="201" t="s">
        <v>143</v>
      </c>
      <c r="E47" s="202">
        <v>45.0</v>
      </c>
      <c r="F47" s="202">
        <v>33.3</v>
      </c>
      <c r="G47" s="202">
        <v>35.55</v>
      </c>
      <c r="H47" s="204">
        <f>E47+G47-F47</f>
        <v>47.25</v>
      </c>
      <c r="I47" s="34"/>
      <c r="J47" s="34"/>
    </row>
    <row r="48" ht="15.75" customHeight="1">
      <c r="A48" s="169" t="s">
        <v>263</v>
      </c>
      <c r="D48" s="206" t="s">
        <v>146</v>
      </c>
      <c r="E48" s="208">
        <f t="shared" ref="E48:H48" si="12">E44+E47</f>
        <v>232</v>
      </c>
      <c r="F48" s="208">
        <f t="shared" si="12"/>
        <v>164.4</v>
      </c>
      <c r="G48" s="208">
        <f t="shared" si="12"/>
        <v>182.4</v>
      </c>
      <c r="H48" s="209">
        <f t="shared" si="12"/>
        <v>250</v>
      </c>
      <c r="I48" s="34"/>
      <c r="J48" s="34"/>
    </row>
    <row r="49" ht="15.75" customHeight="1">
      <c r="A49" s="169" t="s">
        <v>269</v>
      </c>
      <c r="D49" s="144" t="s">
        <v>88</v>
      </c>
      <c r="E49" s="210">
        <f t="shared" ref="E49:H49" si="13">E48/E7</f>
        <v>0.1546666667</v>
      </c>
      <c r="F49" s="210">
        <f t="shared" si="13"/>
        <v>0.1481081081</v>
      </c>
      <c r="G49" s="210">
        <f t="shared" si="13"/>
        <v>0.1539240506</v>
      </c>
      <c r="H49" s="200">
        <f t="shared" si="13"/>
        <v>0.1587301587</v>
      </c>
      <c r="I49" s="34"/>
      <c r="J49" s="34"/>
    </row>
    <row r="50" ht="15.75" customHeight="1">
      <c r="A50" s="169" t="s">
        <v>278</v>
      </c>
      <c r="D50" s="196"/>
      <c r="E50" s="197"/>
      <c r="F50" s="197"/>
      <c r="G50" s="197"/>
      <c r="H50" s="199"/>
      <c r="I50" s="34"/>
      <c r="J50" s="34"/>
    </row>
    <row r="51" ht="15.75" customHeight="1">
      <c r="A51" s="169" t="s">
        <v>282</v>
      </c>
      <c r="D51" s="203" t="s">
        <v>176</v>
      </c>
      <c r="E51" s="212">
        <f t="shared" ref="E51:H51" si="14">E18</f>
        <v>115.5</v>
      </c>
      <c r="F51" s="212">
        <f t="shared" si="14"/>
        <v>85.47</v>
      </c>
      <c r="G51" s="212">
        <f t="shared" si="14"/>
        <v>97.76</v>
      </c>
      <c r="H51" s="195">
        <f t="shared" si="14"/>
        <v>127.79</v>
      </c>
      <c r="I51" s="34"/>
      <c r="J51" s="34"/>
    </row>
    <row r="52" ht="15.75" customHeight="1">
      <c r="A52" s="169"/>
      <c r="D52" s="58" t="s">
        <v>71</v>
      </c>
      <c r="E52" s="190" t="s">
        <v>72</v>
      </c>
      <c r="F52" s="190" t="s">
        <v>72</v>
      </c>
      <c r="G52" s="190" t="s">
        <v>72</v>
      </c>
      <c r="H52" s="59" t="s">
        <v>72</v>
      </c>
      <c r="I52" s="34"/>
      <c r="J52" s="34"/>
    </row>
    <row r="53" ht="15.75" customHeight="1">
      <c r="A53" s="38" t="s">
        <v>289</v>
      </c>
      <c r="B53" s="3"/>
      <c r="D53" s="194" t="s">
        <v>190</v>
      </c>
      <c r="E53" s="214">
        <v>22.0</v>
      </c>
      <c r="F53" s="139">
        <v>9.0</v>
      </c>
      <c r="G53" s="214">
        <v>16.5</v>
      </c>
      <c r="H53" s="215">
        <f>E53+G53-F53</f>
        <v>29.5</v>
      </c>
      <c r="I53" s="34"/>
      <c r="J53" s="34"/>
    </row>
    <row r="54" ht="15.75" customHeight="1">
      <c r="A54" s="158" t="s">
        <v>32</v>
      </c>
      <c r="B54" s="70"/>
      <c r="D54" s="203" t="s">
        <v>197</v>
      </c>
      <c r="E54" s="190" t="s">
        <v>72</v>
      </c>
      <c r="F54" s="190" t="s">
        <v>72</v>
      </c>
      <c r="G54" s="190" t="s">
        <v>72</v>
      </c>
      <c r="H54" s="59" t="s">
        <v>72</v>
      </c>
      <c r="I54" s="34"/>
      <c r="J54" s="34"/>
    </row>
    <row r="55" ht="15.75" customHeight="1">
      <c r="A55" s="41" t="s">
        <v>293</v>
      </c>
      <c r="B55" s="217">
        <f>B37/B56</f>
        <v>1.091847619</v>
      </c>
      <c r="D55" s="201" t="s">
        <v>296</v>
      </c>
      <c r="E55" s="202">
        <v>-6.6</v>
      </c>
      <c r="F55" s="140">
        <v>-2.7</v>
      </c>
      <c r="G55" s="202">
        <v>-4.13</v>
      </c>
      <c r="H55" s="204">
        <f>E55+G55-F55</f>
        <v>-8.03</v>
      </c>
      <c r="I55" s="34"/>
      <c r="J55" s="34"/>
    </row>
    <row r="56" ht="15.75" customHeight="1">
      <c r="A56" s="58" t="s">
        <v>297</v>
      </c>
      <c r="B56" s="179">
        <f>H7</f>
        <v>1575</v>
      </c>
      <c r="D56" s="206" t="s">
        <v>209</v>
      </c>
      <c r="E56" s="208">
        <f t="shared" ref="E56:H56" si="15">E51+E53+E55</f>
        <v>130.9</v>
      </c>
      <c r="F56" s="208">
        <f t="shared" si="15"/>
        <v>91.77</v>
      </c>
      <c r="G56" s="208">
        <f t="shared" si="15"/>
        <v>110.13</v>
      </c>
      <c r="H56" s="209">
        <f t="shared" si="15"/>
        <v>149.26</v>
      </c>
      <c r="I56" s="34"/>
      <c r="J56" s="34"/>
    </row>
    <row r="57" ht="15.75" customHeight="1">
      <c r="A57" s="218" t="s">
        <v>299</v>
      </c>
      <c r="B57" s="219">
        <f>B37/B58</f>
        <v>5.7322</v>
      </c>
      <c r="D57" s="144" t="s">
        <v>88</v>
      </c>
      <c r="E57" s="210">
        <f t="shared" ref="E57:H57" si="16">E56/E7</f>
        <v>0.08726666667</v>
      </c>
      <c r="F57" s="210">
        <f t="shared" si="16"/>
        <v>0.08267567568</v>
      </c>
      <c r="G57" s="210">
        <f t="shared" si="16"/>
        <v>0.09293670886</v>
      </c>
      <c r="H57" s="200">
        <f t="shared" si="16"/>
        <v>0.09476825397</v>
      </c>
      <c r="I57" s="34"/>
      <c r="J57" s="34"/>
    </row>
    <row r="58" ht="15.75" customHeight="1">
      <c r="A58" s="58" t="s">
        <v>297</v>
      </c>
      <c r="B58" s="179">
        <f>H48+50</f>
        <v>300</v>
      </c>
      <c r="D58" s="220"/>
      <c r="E58" s="221"/>
      <c r="F58" s="221"/>
      <c r="G58" s="221"/>
      <c r="H58" s="222"/>
      <c r="I58" s="34"/>
      <c r="J58" s="34"/>
    </row>
    <row r="59" ht="15.75" customHeight="1">
      <c r="A59" s="72" t="s">
        <v>303</v>
      </c>
      <c r="B59" s="219">
        <f>B37/B60</f>
        <v>8.481676942</v>
      </c>
      <c r="D59" s="223" t="s">
        <v>225</v>
      </c>
      <c r="E59" s="224" t="s">
        <v>39</v>
      </c>
      <c r="F59" s="224" t="s">
        <v>39</v>
      </c>
      <c r="G59" s="224" t="s">
        <v>39</v>
      </c>
      <c r="H59" s="225" t="s">
        <v>39</v>
      </c>
      <c r="I59" s="34"/>
      <c r="J59" s="34"/>
    </row>
    <row r="60" ht="15.75" customHeight="1">
      <c r="A60" s="58" t="s">
        <v>297</v>
      </c>
      <c r="B60" s="179">
        <f>H44</f>
        <v>202.75</v>
      </c>
      <c r="D60" s="226" t="s">
        <v>159</v>
      </c>
      <c r="I60" s="34"/>
      <c r="J60" s="34"/>
    </row>
    <row r="61" ht="15.75" customHeight="1">
      <c r="A61" s="72" t="s">
        <v>310</v>
      </c>
      <c r="B61" s="228" t="s">
        <v>39</v>
      </c>
      <c r="D61" s="226" t="s">
        <v>312</v>
      </c>
      <c r="I61" s="34"/>
      <c r="J61" s="34"/>
    </row>
    <row r="62" ht="15.75" customHeight="1">
      <c r="A62" s="82" t="s">
        <v>297</v>
      </c>
      <c r="B62" s="145" t="str">
        <f>H59</f>
        <v>N / A</v>
      </c>
      <c r="D62" s="226" t="s">
        <v>317</v>
      </c>
      <c r="I62" s="34"/>
      <c r="J62" s="34"/>
    </row>
    <row r="63" ht="15.75" customHeight="1">
      <c r="A63" s="169" t="s">
        <v>159</v>
      </c>
      <c r="D63" s="226" t="s">
        <v>319</v>
      </c>
      <c r="I63" s="34"/>
      <c r="J63" s="34"/>
    </row>
    <row r="64" ht="15.75" customHeight="1">
      <c r="A64" s="169" t="s">
        <v>322</v>
      </c>
      <c r="D64" s="226" t="s">
        <v>323</v>
      </c>
      <c r="I64" s="34"/>
      <c r="J64" s="34"/>
    </row>
    <row r="65" ht="15.75" customHeight="1">
      <c r="A65" s="169" t="s">
        <v>324</v>
      </c>
      <c r="D65" s="226" t="s">
        <v>326</v>
      </c>
      <c r="I65" s="34"/>
      <c r="J65" s="34"/>
    </row>
    <row r="66" ht="15.75" customHeight="1">
      <c r="A66" s="169" t="s">
        <v>327</v>
      </c>
      <c r="D66" s="226"/>
      <c r="E66" s="226"/>
      <c r="F66" s="226"/>
      <c r="G66" s="226"/>
      <c r="H66" s="226"/>
      <c r="I66" s="34"/>
      <c r="J66" s="34"/>
    </row>
    <row r="67" ht="15.75" customHeight="1">
      <c r="A67" s="169" t="s">
        <v>330</v>
      </c>
      <c r="D67" s="38" t="s">
        <v>240</v>
      </c>
      <c r="E67" s="2"/>
      <c r="F67" s="2"/>
      <c r="G67" s="2"/>
      <c r="H67" s="3"/>
      <c r="I67" s="34"/>
      <c r="J67" s="34"/>
    </row>
    <row r="68" ht="15.75" customHeight="1">
      <c r="A68" s="169" t="s">
        <v>334</v>
      </c>
      <c r="D68" s="48" t="s">
        <v>245</v>
      </c>
      <c r="E68" s="6"/>
      <c r="F68" s="6"/>
      <c r="G68" s="6"/>
      <c r="H68" s="7"/>
      <c r="I68" s="34"/>
      <c r="J68" s="34"/>
    </row>
    <row r="69" ht="15.75" customHeight="1">
      <c r="A69" s="169" t="s">
        <v>338</v>
      </c>
      <c r="D69" s="193"/>
      <c r="E69" s="67" t="s">
        <v>48</v>
      </c>
      <c r="F69" s="67" t="s">
        <v>51</v>
      </c>
      <c r="G69" s="67" t="s">
        <v>53</v>
      </c>
      <c r="H69" s="64" t="s">
        <v>202</v>
      </c>
      <c r="I69" s="34"/>
      <c r="J69" s="34"/>
    </row>
    <row r="70" ht="15.75" customHeight="1">
      <c r="A70" s="169" t="s">
        <v>341</v>
      </c>
      <c r="D70" s="194" t="s">
        <v>143</v>
      </c>
      <c r="E70" s="212">
        <f t="shared" ref="E70:H70" si="17">E47</f>
        <v>45</v>
      </c>
      <c r="F70" s="212">
        <f t="shared" si="17"/>
        <v>33.3</v>
      </c>
      <c r="G70" s="212">
        <f t="shared" si="17"/>
        <v>35.55</v>
      </c>
      <c r="H70" s="195">
        <f t="shared" si="17"/>
        <v>47.25</v>
      </c>
      <c r="I70" s="34"/>
      <c r="J70" s="34"/>
    </row>
    <row r="71" ht="15.75" customHeight="1">
      <c r="A71" s="169" t="s">
        <v>344</v>
      </c>
      <c r="D71" s="198" t="s">
        <v>255</v>
      </c>
      <c r="E71" s="210">
        <f t="shared" ref="E71:H71" si="18">E70/E7</f>
        <v>0.03</v>
      </c>
      <c r="F71" s="210">
        <f t="shared" si="18"/>
        <v>0.03</v>
      </c>
      <c r="G71" s="210">
        <f t="shared" si="18"/>
        <v>0.03</v>
      </c>
      <c r="H71" s="200">
        <f t="shared" si="18"/>
        <v>0.03</v>
      </c>
      <c r="I71" s="34"/>
      <c r="J71" s="34"/>
    </row>
    <row r="72" ht="15.75" customHeight="1">
      <c r="A72" s="169" t="s">
        <v>351</v>
      </c>
      <c r="D72" s="203" t="s">
        <v>353</v>
      </c>
      <c r="E72" s="212">
        <v>37.5</v>
      </c>
      <c r="F72" s="212">
        <v>27.75</v>
      </c>
      <c r="G72" s="212">
        <v>29.63</v>
      </c>
      <c r="H72" s="195">
        <f>E72+G72-F72</f>
        <v>39.38</v>
      </c>
      <c r="I72" s="34"/>
      <c r="J72" s="34"/>
    </row>
    <row r="73" ht="15.75" customHeight="1">
      <c r="A73" s="169" t="s">
        <v>355</v>
      </c>
      <c r="D73" s="205" t="s">
        <v>255</v>
      </c>
      <c r="E73" s="230">
        <f t="shared" ref="E73:H73" si="19">E72/E7</f>
        <v>0.025</v>
      </c>
      <c r="F73" s="230">
        <f t="shared" si="19"/>
        <v>0.025</v>
      </c>
      <c r="G73" s="230">
        <f t="shared" si="19"/>
        <v>0.02500421941</v>
      </c>
      <c r="H73" s="207">
        <f t="shared" si="19"/>
        <v>0.0250031746</v>
      </c>
      <c r="I73" s="34"/>
      <c r="J73" s="34"/>
    </row>
    <row r="74" ht="15.75" customHeight="1">
      <c r="A74" s="169" t="s">
        <v>357</v>
      </c>
      <c r="D74" s="226" t="s">
        <v>267</v>
      </c>
      <c r="I74" s="34"/>
      <c r="J74" s="34"/>
    </row>
    <row r="75" ht="15.75" customHeight="1">
      <c r="A75" s="169" t="s">
        <v>360</v>
      </c>
      <c r="D75" s="226" t="s">
        <v>361</v>
      </c>
      <c r="I75" s="34"/>
      <c r="J75" s="34"/>
    </row>
    <row r="76" ht="15.75" customHeight="1">
      <c r="A76" s="169" t="s">
        <v>362</v>
      </c>
      <c r="D76" s="226" t="s">
        <v>363</v>
      </c>
      <c r="I76" s="34"/>
      <c r="J76" s="34"/>
    </row>
    <row r="77" ht="15.75" customHeight="1">
      <c r="A77" s="192" t="s">
        <v>364</v>
      </c>
      <c r="D77" s="226" t="s">
        <v>365</v>
      </c>
      <c r="I77" s="34"/>
      <c r="J77" s="34"/>
    </row>
    <row r="78" ht="15.75" customHeight="1">
      <c r="A78" s="192" t="s">
        <v>367</v>
      </c>
      <c r="D78" s="226"/>
      <c r="E78" s="226"/>
      <c r="F78" s="226"/>
      <c r="G78" s="226"/>
      <c r="H78" s="226"/>
      <c r="I78" s="34"/>
      <c r="J78" s="34"/>
    </row>
    <row r="79" ht="15.75" customHeight="1">
      <c r="A79" s="192" t="s">
        <v>368</v>
      </c>
      <c r="D79" s="36" t="s">
        <v>185</v>
      </c>
      <c r="E79" s="37"/>
      <c r="F79" s="27"/>
      <c r="G79" s="226"/>
      <c r="H79" s="226"/>
      <c r="I79" s="34"/>
      <c r="J79" s="34"/>
    </row>
    <row r="80" ht="15.75" customHeight="1">
      <c r="A80" s="192" t="s">
        <v>369</v>
      </c>
      <c r="D80" s="193"/>
      <c r="E80" s="231" t="s">
        <v>191</v>
      </c>
      <c r="F80" s="232" t="s">
        <v>193</v>
      </c>
      <c r="G80" s="34"/>
      <c r="H80" s="34"/>
      <c r="I80" s="34"/>
      <c r="J80" s="34"/>
    </row>
    <row r="81" ht="15.75" customHeight="1">
      <c r="A81" s="192" t="s">
        <v>372</v>
      </c>
      <c r="D81" s="203" t="s">
        <v>198</v>
      </c>
      <c r="E81" s="233" t="s">
        <v>72</v>
      </c>
      <c r="F81" s="234" t="s">
        <v>376</v>
      </c>
      <c r="G81" s="34"/>
      <c r="H81" s="34"/>
      <c r="I81" s="34"/>
      <c r="J81" s="34"/>
    </row>
    <row r="82" ht="15.75" customHeight="1">
      <c r="A82" s="192" t="s">
        <v>379</v>
      </c>
      <c r="D82" s="203" t="s">
        <v>198</v>
      </c>
      <c r="E82" s="233" t="s">
        <v>72</v>
      </c>
      <c r="F82" s="234" t="s">
        <v>381</v>
      </c>
      <c r="G82" s="34"/>
      <c r="H82" s="34"/>
      <c r="I82" s="34"/>
      <c r="J82" s="34"/>
    </row>
    <row r="83" ht="15.75" customHeight="1">
      <c r="A83" s="192" t="s">
        <v>382</v>
      </c>
      <c r="D83" s="203" t="s">
        <v>383</v>
      </c>
      <c r="E83" s="233" t="s">
        <v>384</v>
      </c>
      <c r="F83" s="235">
        <v>44266.0</v>
      </c>
      <c r="G83" s="34"/>
      <c r="H83" s="34"/>
      <c r="I83" s="34"/>
      <c r="J83" s="34"/>
    </row>
    <row r="84" ht="15.75" customHeight="1">
      <c r="D84" s="203" t="s">
        <v>205</v>
      </c>
      <c r="E84" s="233" t="s">
        <v>386</v>
      </c>
      <c r="F84" s="234" t="s">
        <v>387</v>
      </c>
      <c r="G84" s="34"/>
      <c r="H84" s="34"/>
      <c r="I84" s="34"/>
      <c r="J84" s="34"/>
    </row>
    <row r="85" ht="15.75" customHeight="1">
      <c r="D85" s="82" t="s">
        <v>217</v>
      </c>
      <c r="E85" s="181" t="s">
        <v>388</v>
      </c>
      <c r="F85" s="145" t="s">
        <v>389</v>
      </c>
      <c r="I85" s="34"/>
      <c r="J85" s="34"/>
    </row>
    <row r="86" ht="15.75" customHeight="1">
      <c r="I86" s="34"/>
      <c r="J86" s="34"/>
    </row>
    <row r="87" ht="15.75" customHeight="1">
      <c r="I87" s="34"/>
      <c r="J87" s="34"/>
    </row>
    <row r="88" ht="15.75" customHeight="1">
      <c r="I88" s="34"/>
      <c r="J88" s="34"/>
    </row>
    <row r="89" ht="15.75" customHeight="1">
      <c r="A89" s="34"/>
      <c r="B89" s="34"/>
      <c r="D89" s="34"/>
      <c r="E89" s="34"/>
      <c r="F89" s="34"/>
      <c r="G89" s="34"/>
      <c r="H89" s="34"/>
      <c r="I89" s="34"/>
      <c r="J89" s="34"/>
    </row>
    <row r="90" ht="15.75" customHeight="1">
      <c r="A90" s="34"/>
      <c r="B90" s="34"/>
      <c r="D90" s="34"/>
      <c r="E90" s="34"/>
      <c r="F90" s="34"/>
      <c r="G90" s="34"/>
      <c r="H90" s="34"/>
      <c r="I90" s="34"/>
      <c r="J90" s="34"/>
    </row>
    <row r="91" ht="15.75" customHeight="1">
      <c r="A91" s="34"/>
      <c r="B91" s="34"/>
      <c r="D91" s="34"/>
      <c r="E91" s="34"/>
      <c r="F91" s="34"/>
      <c r="G91" s="34"/>
      <c r="H91" s="34"/>
      <c r="I91" s="34"/>
      <c r="J91" s="34"/>
    </row>
    <row r="92" ht="15.75" customHeight="1">
      <c r="A92" s="34"/>
      <c r="B92" s="34"/>
      <c r="D92" s="34"/>
      <c r="E92" s="34"/>
      <c r="F92" s="34"/>
      <c r="G92" s="34"/>
      <c r="H92" s="34"/>
      <c r="I92" s="34"/>
      <c r="J92" s="34"/>
    </row>
    <row r="93" ht="15.75" customHeight="1">
      <c r="A93" s="34"/>
      <c r="B93" s="34"/>
      <c r="D93" s="34"/>
      <c r="E93" s="34"/>
      <c r="F93" s="34"/>
      <c r="G93" s="34"/>
      <c r="H93" s="34"/>
      <c r="I93" s="34"/>
      <c r="J93" s="34"/>
    </row>
    <row r="94" ht="15.75" customHeight="1">
      <c r="A94" s="34"/>
      <c r="B94" s="34"/>
      <c r="D94" s="34"/>
      <c r="E94" s="34"/>
      <c r="F94" s="34"/>
      <c r="G94" s="34"/>
      <c r="H94" s="34"/>
      <c r="I94" s="34"/>
      <c r="J94" s="34"/>
    </row>
    <row r="95" ht="15.75" customHeight="1">
      <c r="A95" s="34"/>
      <c r="B95" s="34"/>
      <c r="D95" s="34"/>
      <c r="E95" s="34"/>
      <c r="F95" s="34"/>
      <c r="G95" s="34"/>
      <c r="H95" s="34"/>
      <c r="I95" s="34"/>
      <c r="J95" s="34"/>
    </row>
    <row r="96" ht="15.75" customHeight="1">
      <c r="A96" s="34"/>
      <c r="B96" s="34"/>
      <c r="D96" s="34"/>
      <c r="E96" s="34"/>
      <c r="F96" s="34"/>
      <c r="G96" s="34"/>
      <c r="H96" s="34"/>
      <c r="I96" s="34"/>
      <c r="J96" s="34"/>
    </row>
    <row r="97" ht="15.75" customHeight="1">
      <c r="A97" s="34"/>
      <c r="B97" s="34"/>
      <c r="D97" s="34"/>
      <c r="E97" s="34"/>
      <c r="F97" s="34"/>
      <c r="G97" s="34"/>
      <c r="H97" s="34"/>
      <c r="I97" s="34"/>
      <c r="J97" s="34"/>
    </row>
    <row r="98" ht="15.75" customHeight="1">
      <c r="A98" s="34"/>
      <c r="B98" s="34"/>
      <c r="D98" s="34"/>
      <c r="E98" s="34"/>
      <c r="F98" s="34"/>
      <c r="G98" s="34"/>
      <c r="H98" s="34"/>
      <c r="I98" s="34"/>
      <c r="J98" s="34"/>
    </row>
    <row r="99" ht="15.75" customHeight="1">
      <c r="A99" s="34"/>
      <c r="B99" s="34"/>
      <c r="D99" s="34"/>
      <c r="E99" s="34"/>
      <c r="F99" s="34"/>
      <c r="G99" s="34"/>
      <c r="H99" s="34"/>
      <c r="I99" s="34"/>
      <c r="J99" s="34"/>
    </row>
    <row r="100" ht="15.75" customHeight="1">
      <c r="D100" s="34"/>
      <c r="E100" s="34"/>
      <c r="F100" s="34"/>
      <c r="G100" s="34"/>
      <c r="H100" s="34"/>
      <c r="I100" s="34"/>
      <c r="J100" s="34"/>
    </row>
    <row r="101" ht="15.75" customHeight="1">
      <c r="D101" s="34"/>
      <c r="E101" s="34"/>
      <c r="F101" s="34"/>
      <c r="G101" s="34"/>
      <c r="H101" s="34"/>
      <c r="I101" s="34"/>
      <c r="J101" s="34"/>
    </row>
    <row r="102" ht="15.75" customHeight="1">
      <c r="D102" s="34"/>
      <c r="E102" s="34"/>
      <c r="F102" s="34"/>
      <c r="G102" s="34"/>
      <c r="H102" s="34"/>
      <c r="I102" s="34"/>
      <c r="J102" s="34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6"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D64:H64"/>
    <mergeCell ref="D65:H65"/>
    <mergeCell ref="D60:H60"/>
    <mergeCell ref="D61:H61"/>
    <mergeCell ref="D62:H62"/>
    <mergeCell ref="A63:B63"/>
    <mergeCell ref="D63:H63"/>
    <mergeCell ref="A64:B64"/>
    <mergeCell ref="A65:B65"/>
    <mergeCell ref="D75:H75"/>
    <mergeCell ref="D76:H76"/>
    <mergeCell ref="A71:B71"/>
    <mergeCell ref="A72:B72"/>
    <mergeCell ref="A73:B73"/>
    <mergeCell ref="A74:B74"/>
    <mergeCell ref="D74:H74"/>
    <mergeCell ref="A75:B75"/>
    <mergeCell ref="A76:B76"/>
    <mergeCell ref="A82:B82"/>
    <mergeCell ref="A83:B83"/>
    <mergeCell ref="A77:B77"/>
    <mergeCell ref="D77:H77"/>
    <mergeCell ref="A78:B78"/>
    <mergeCell ref="A79:B79"/>
    <mergeCell ref="D79:F79"/>
    <mergeCell ref="A80:B80"/>
    <mergeCell ref="A81:B81"/>
    <mergeCell ref="A1:N1"/>
    <mergeCell ref="A2:N2"/>
    <mergeCell ref="A4:B4"/>
    <mergeCell ref="D4:H4"/>
    <mergeCell ref="J4:N4"/>
    <mergeCell ref="D5:H5"/>
    <mergeCell ref="J5:N5"/>
    <mergeCell ref="J6:N6"/>
    <mergeCell ref="J7:N7"/>
    <mergeCell ref="J9:N9"/>
    <mergeCell ref="J10:N10"/>
    <mergeCell ref="J11:N11"/>
    <mergeCell ref="J12:N12"/>
    <mergeCell ref="J13:N13"/>
    <mergeCell ref="J21:N21"/>
    <mergeCell ref="J22:N22"/>
    <mergeCell ref="J23:N23"/>
    <mergeCell ref="J15:N15"/>
    <mergeCell ref="J16:N16"/>
    <mergeCell ref="J17:N17"/>
    <mergeCell ref="J18:N18"/>
    <mergeCell ref="J19:N19"/>
    <mergeCell ref="J20:N20"/>
    <mergeCell ref="A22:B22"/>
    <mergeCell ref="A23:B23"/>
    <mergeCell ref="D23:H23"/>
    <mergeCell ref="D24:H24"/>
    <mergeCell ref="D25:H25"/>
    <mergeCell ref="D26:H26"/>
    <mergeCell ref="D27:H27"/>
    <mergeCell ref="D28:H28"/>
    <mergeCell ref="D29:H29"/>
    <mergeCell ref="D30:H30"/>
    <mergeCell ref="D32:H32"/>
    <mergeCell ref="D33:H33"/>
    <mergeCell ref="A38:B38"/>
    <mergeCell ref="A39:B39"/>
    <mergeCell ref="A40:B40"/>
    <mergeCell ref="A66:B66"/>
    <mergeCell ref="A67:B67"/>
    <mergeCell ref="D67:H67"/>
    <mergeCell ref="A68:B68"/>
    <mergeCell ref="D68:H68"/>
    <mergeCell ref="A69:B69"/>
    <mergeCell ref="A70:B70"/>
  </mergeCells>
  <drawing r:id="rId1"/>
</worksheet>
</file>