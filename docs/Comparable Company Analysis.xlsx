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chmarking &amp; Valuation" sheetId="1" r:id="rId5"/>
    <sheet state="visible" name="Target Company" sheetId="2" r:id="rId6"/>
    <sheet state="visible" name="Comparable #1" sheetId="3" r:id="rId7"/>
    <sheet state="visible" name="Comparable #2" sheetId="4" r:id="rId8"/>
    <sheet state="visible" name="Comparable #3" sheetId="5" r:id="rId9"/>
  </sheets>
  <definedNames/>
  <calcPr/>
</workbook>
</file>

<file path=xl/sharedStrings.xml><?xml version="1.0" encoding="utf-8"?>
<sst xmlns="http://schemas.openxmlformats.org/spreadsheetml/2006/main" count="900" uniqueCount="223">
  <si>
    <t>Benchmarking</t>
  </si>
  <si>
    <t>Universal Robina Corporation (URC)</t>
  </si>
  <si>
    <t>Century Pacific Food, Inc. (CNPF)</t>
  </si>
  <si>
    <t>Comparable #2</t>
  </si>
  <si>
    <t>Comparable #1</t>
  </si>
  <si>
    <t>Philippine Branded Food &amp; Beverage Companies</t>
  </si>
  <si>
    <t>General Information</t>
  </si>
  <si>
    <t>Monde Nissin Corporation (MONDE)</t>
  </si>
  <si>
    <t>Reported Income Statement</t>
  </si>
  <si>
    <t>Balance Sheet Data</t>
  </si>
  <si>
    <t>Company Name</t>
  </si>
  <si>
    <t>Century Pacific Food, Inc.</t>
  </si>
  <si>
    <t>EV / EBITDA</t>
  </si>
  <si>
    <t>(In ₱ millions, except per share data.)</t>
  </si>
  <si>
    <t>Universal Robina Corporation</t>
  </si>
  <si>
    <t>(₱ in millions)</t>
  </si>
  <si>
    <t>P / E</t>
  </si>
  <si>
    <t>Ticker</t>
  </si>
  <si>
    <t>CNPF</t>
  </si>
  <si>
    <t>2023A</t>
  </si>
  <si>
    <t>FCF Yield</t>
  </si>
  <si>
    <t>2024A</t>
  </si>
  <si>
    <t>URC</t>
  </si>
  <si>
    <t>2025A</t>
  </si>
  <si>
    <t>Prior Stub (Q1-Q2 2025)</t>
  </si>
  <si>
    <t>Current Stub (Q1-Q2 2026)</t>
  </si>
  <si>
    <t>Company</t>
  </si>
  <si>
    <t>LTM (Ending Q2 2026)</t>
  </si>
  <si>
    <t>Current Share Price</t>
  </si>
  <si>
    <t>% of 52-week High</t>
  </si>
  <si>
    <t>Equity Value</t>
  </si>
  <si>
    <t>Enterprise Value</t>
  </si>
  <si>
    <t>LTM</t>
  </si>
  <si>
    <t>Q2 2026</t>
  </si>
  <si>
    <t>Target Company</t>
  </si>
  <si>
    <t>Stock Exchange</t>
  </si>
  <si>
    <t>Philippine Stock Exchange (PSE)</t>
  </si>
  <si>
    <t>2026E</t>
  </si>
  <si>
    <t>Sales</t>
  </si>
  <si>
    <t>2027E</t>
  </si>
  <si>
    <t>2026E EBITDA Margin</t>
  </si>
  <si>
    <t>LTM Debt / EBITDA</t>
  </si>
  <si>
    <t>LTM EBITDA / Interest Expense</t>
  </si>
  <si>
    <t>Long-term EPS Growth Rate</t>
  </si>
  <si>
    <t>Dividend Yield</t>
  </si>
  <si>
    <t>Target:</t>
  </si>
  <si>
    <t>Cash and Cash Equivalents</t>
  </si>
  <si>
    <t>Monde Nissin</t>
  </si>
  <si>
    <t>MONDE</t>
  </si>
  <si>
    <t>Fiscal Year Ending</t>
  </si>
  <si>
    <t>COGS (incl. D&amp;A)</t>
  </si>
  <si>
    <t>Accounts Receivable</t>
  </si>
  <si>
    <t>Marginal Tax Rate</t>
  </si>
  <si>
    <t>Comparables:</t>
  </si>
  <si>
    <t>Gross Profit</t>
  </si>
  <si>
    <t>Monde Nissin Corporation</t>
  </si>
  <si>
    <t>Universal Robina</t>
  </si>
  <si>
    <t>Century Pacific Food</t>
  </si>
  <si>
    <t>Inventories</t>
  </si>
  <si>
    <t>SG&amp;A</t>
  </si>
  <si>
    <t>San Miguel Food and Beverage</t>
  </si>
  <si>
    <t>FB</t>
  </si>
  <si>
    <t>Prepaids and Other Current Assets</t>
  </si>
  <si>
    <t>Selected Market Data</t>
  </si>
  <si>
    <t>Other Expense / (Income)</t>
  </si>
  <si>
    <t>EBIT</t>
  </si>
  <si>
    <t>Total Current Assets</t>
  </si>
  <si>
    <t>Mean</t>
  </si>
  <si>
    <t>(In ₱ millions, except per share data. Stock Data is as of August 14, 2026.)</t>
  </si>
  <si>
    <t>Current Price</t>
  </si>
  <si>
    <t>Net Finance Costs / (Income)</t>
  </si>
  <si>
    <t>Property, Plant and Equipment, net</t>
  </si>
  <si>
    <t>Pre-tax Income</t>
  </si>
  <si>
    <t>Median</t>
  </si>
  <si>
    <t>Goodwill and Intangible Assets</t>
  </si>
  <si>
    <t>52-week High Price</t>
  </si>
  <si>
    <t>Income Taxes</t>
  </si>
  <si>
    <t>Other Assets</t>
  </si>
  <si>
    <t>52-week Low Price</t>
  </si>
  <si>
    <t>Non-controlling Interest</t>
  </si>
  <si>
    <t>-</t>
  </si>
  <si>
    <t>Total Assets</t>
  </si>
  <si>
    <t>High</t>
  </si>
  <si>
    <t>Dividend Per Share (MRQ)</t>
  </si>
  <si>
    <t>Low</t>
  </si>
  <si>
    <t>Net Income</t>
  </si>
  <si>
    <t>Effective Tax Rate</t>
  </si>
  <si>
    <t>Accounts Payable &amp; Accrued Liabilities</t>
  </si>
  <si>
    <t>Valuations</t>
  </si>
  <si>
    <t>Fully Diluted Shares Outstanding</t>
  </si>
  <si>
    <t>Other Current Liabilities</t>
  </si>
  <si>
    <t>Implied Enterprise Value, Equity Value, and Share Price based on EV / EBITDA Multiples</t>
  </si>
  <si>
    <t>Weighted Avg. Diluted Shares</t>
  </si>
  <si>
    <t>Total Current Liabilities (excl. debt)</t>
  </si>
  <si>
    <t>(₱ in millions, except per share data)</t>
  </si>
  <si>
    <t>Diluted EPS</t>
  </si>
  <si>
    <t>EBITDA</t>
  </si>
  <si>
    <t>Multiple Range</t>
  </si>
  <si>
    <t>Implied Enterprise Value</t>
  </si>
  <si>
    <t>Plus: Total Debt</t>
  </si>
  <si>
    <t>Plus: Net Cash (Less: Non-controlling Interest)</t>
  </si>
  <si>
    <t>Implied Equity Value</t>
  </si>
  <si>
    <t>Total Debt</t>
  </si>
  <si>
    <t>Fully Diluted Shares</t>
  </si>
  <si>
    <t>Plus: Preferred Stock</t>
  </si>
  <si>
    <t>Implied Share Price</t>
  </si>
  <si>
    <t>Adjusted Income Statement</t>
  </si>
  <si>
    <t>7.0x - 8.0x</t>
  </si>
  <si>
    <t>Other Long-Term Liabilities</t>
  </si>
  <si>
    <t>₱113,035.30 - ₱129,183.20</t>
  </si>
  <si>
    <t>Plus: Non-controlling Interest</t>
  </si>
  <si>
    <t>₱122,124.50 - ₱138,272.40</t>
  </si>
  <si>
    <t>₱6.80 - ₱7.70</t>
  </si>
  <si>
    <t>Total Liabilities</t>
  </si>
  <si>
    <t>6.5x - 7.5x</t>
  </si>
  <si>
    <t>₱108,231.50 - ₱124,882.50</t>
  </si>
  <si>
    <t>₱117,320.70 - ₱133,971.70</t>
  </si>
  <si>
    <t>₱6.53 - ₱7.46</t>
  </si>
  <si>
    <t>Less: Cash and Cash Equivalents</t>
  </si>
  <si>
    <t>6.0x - 7.0x</t>
  </si>
  <si>
    <t>₱106,134.00 - ₱123,823.00</t>
  </si>
  <si>
    <t>₱115,223.20 - ₱132,912.20</t>
  </si>
  <si>
    <t>₱6.41 - ₱7.40</t>
  </si>
  <si>
    <t>Implied Equity Value and Share Price based on P / E Multiples</t>
  </si>
  <si>
    <t>Reported Gross Profit</t>
  </si>
  <si>
    <t>Non-recurring Items in COGS</t>
  </si>
  <si>
    <t>Preferred Stock</t>
  </si>
  <si>
    <t>LTM ROI Ratios</t>
  </si>
  <si>
    <t>12.0x - 13.0x</t>
  </si>
  <si>
    <t>₱125,732.40 - ₱136,210.10</t>
  </si>
  <si>
    <t>Adjusted Gross Profit</t>
  </si>
  <si>
    <t>₱7.00 - ₱7.58</t>
  </si>
  <si>
    <t>11.2x - 12.2x</t>
  </si>
  <si>
    <t>₱122,761.52 - ₱133,722.37</t>
  </si>
  <si>
    <t>₱6.83 - ₱7.44</t>
  </si>
  <si>
    <t>10.4x - 11.4x</t>
  </si>
  <si>
    <t>₱119,599.06 - ₱131,098.97</t>
  </si>
  <si>
    <t>₱6.66 - ₱7.30</t>
  </si>
  <si>
    <t>Shareholder's Equity</t>
  </si>
  <si>
    <t>Implied Equity Value and Enterprise Value based on P / E Multiples</t>
  </si>
  <si>
    <t>Return on Invested Capital</t>
  </si>
  <si>
    <t>Plus: Net Debt (Plus: Non-controlling Interest)</t>
  </si>
  <si>
    <t>₱116,643.20 - ₱127,120.90</t>
  </si>
  <si>
    <t>% margin</t>
  </si>
  <si>
    <t>₱113,672.32 - ₱124,633.17</t>
  </si>
  <si>
    <t>₱110,509.86 - ₱122,009.77</t>
  </si>
  <si>
    <t>Total Liabilities and Equity</t>
  </si>
  <si>
    <t>Return on Equity</t>
  </si>
  <si>
    <t>Return on Assets</t>
  </si>
  <si>
    <t>Reported EBIT</t>
  </si>
  <si>
    <t>Balance Check</t>
  </si>
  <si>
    <t>(1)</t>
  </si>
  <si>
    <t>Other Non-recurring Items (Operating)</t>
  </si>
  <si>
    <t>Growth Rates</t>
  </si>
  <si>
    <t>LTM Credit Statistics</t>
  </si>
  <si>
    <t>Adjusted EBIT</t>
  </si>
  <si>
    <t>FCF/Share</t>
  </si>
  <si>
    <t>EPS</t>
  </si>
  <si>
    <t>Leverage Ratios</t>
  </si>
  <si>
    <t>Historical</t>
  </si>
  <si>
    <t>Debt / Total Capitalization</t>
  </si>
  <si>
    <t>1-year</t>
  </si>
  <si>
    <t>Total Debt / EBITDA</t>
  </si>
  <si>
    <t>Depreciation and Amortization (D&amp;A)</t>
  </si>
  <si>
    <t>2-year CAGR</t>
  </si>
  <si>
    <t>Net Debt / EBITDA</t>
  </si>
  <si>
    <t>Adjusted EBITDA</t>
  </si>
  <si>
    <t>Estimated</t>
  </si>
  <si>
    <r>
      <rPr>
        <rFont val="Arial"/>
        <b/>
        <color theme="1"/>
      </rPr>
      <t xml:space="preserve">Coverage Ratios </t>
    </r>
    <r>
      <rPr>
        <rFont val="Arial"/>
        <b val="0"/>
        <i/>
        <color theme="1"/>
      </rPr>
      <t>(1)</t>
    </r>
  </si>
  <si>
    <t>EBITDA / Interest Expense</t>
  </si>
  <si>
    <t>Reported Net Income</t>
  </si>
  <si>
    <r>
      <rPr>
        <rFont val="Arial"/>
        <b/>
        <color theme="1"/>
      </rPr>
      <t xml:space="preserve">Coverage Ratios </t>
    </r>
    <r>
      <rPr>
        <rFont val="Arial"/>
        <b val="0"/>
        <i/>
        <color theme="1"/>
      </rPr>
      <t>(1)</t>
    </r>
  </si>
  <si>
    <r>
      <rPr>
        <rFont val="Arial"/>
        <b/>
        <color theme="1"/>
      </rPr>
      <t xml:space="preserve">Long-term </t>
    </r>
    <r>
      <rPr>
        <rFont val="Arial"/>
        <b val="0"/>
        <i/>
        <color theme="1"/>
      </rPr>
      <t>(1)</t>
    </r>
  </si>
  <si>
    <t>(EBITDA - CapEx) / Interest Expense</t>
  </si>
  <si>
    <t>Note:</t>
  </si>
  <si>
    <t>EBIT / Interest Expense</t>
  </si>
  <si>
    <t>(1) Sourced directly from equity research consensus estimates for CNPF's expected long-term earnings trajectory.</t>
  </si>
  <si>
    <t>Notes:</t>
  </si>
  <si>
    <t>Non-operating Non-recurring Items</t>
  </si>
  <si>
    <t>(1) Calculated using the LTM finance costs as the denominator.</t>
  </si>
  <si>
    <t>(2)</t>
  </si>
  <si>
    <t>Tax Adjustment</t>
  </si>
  <si>
    <t>Adjusted Net Income</t>
  </si>
  <si>
    <r>
      <rPr>
        <rFont val="Arial"/>
        <b/>
        <color theme="1"/>
      </rPr>
      <t xml:space="preserve">Long-term </t>
    </r>
    <r>
      <rPr>
        <rFont val="Arial"/>
        <b val="0"/>
        <i/>
        <color theme="1"/>
      </rPr>
      <t>(1)</t>
    </r>
  </si>
  <si>
    <t>(1) Sourced directly from equity research consensus estimates for URC's expected long-term earnings trajectory.</t>
  </si>
  <si>
    <t>Adjusted Diluted EPS</t>
  </si>
  <si>
    <t>(1) FY2024A: Adds back ₱190.00M non-cash trademark impairment loss recognized on the Swift brand (included in Other Operating Expenses) in FY2024. And in the current stub and LTM, ₱169.93M in one-off provisions for damaged inventory and facility repairs caused by the June 2026 earthquake at the General Santos manufacturing plant (reconciling reported operating income growth to CNPF's guided +18% YoY core operating income) is added back.</t>
  </si>
  <si>
    <t>(2) Reflects the tax shield effect associated with operating add-backs based on prevailing effective corporate tax rates (14.3% in FY2024A and ~13.95% effective base in 6M 2026) to align with CNPF’s internally reported +10% YoY core net income growth (landing at ₱4,289.00M for 1H 2026).</t>
  </si>
  <si>
    <t>Cash Flow Statement Data</t>
  </si>
  <si>
    <t>Cash From Operations (CFO)</t>
  </si>
  <si>
    <t>Capital Expenditures (CapEx)</t>
  </si>
  <si>
    <t>% sales</t>
  </si>
  <si>
    <t>(1) Normalizes one-off and non-operational charges/gains presented below EBIT, including asset impairment losses (e.g., Polypropylene Packaging plant closure and typhoon damage), net results from discontinued China operations, one-off foreign exchange gains/losses, mark-to-market valuations on FVTPL financial assets, and one-off fixed asset disposal gains.</t>
  </si>
  <si>
    <t>Free Cash Flow (FC)</t>
  </si>
  <si>
    <r>
      <rPr>
        <rFont val="Arial"/>
        <i/>
        <color theme="1"/>
      </rPr>
      <t xml:space="preserve">(2) </t>
    </r>
    <r>
      <rPr>
        <rFont val="Arial"/>
        <i/>
        <color theme="1"/>
      </rPr>
      <t>Reflects the net income tax impact associated with non-operating adjustments to arrive at recurring Core Net Income attributable to equity holders of the parent.</t>
    </r>
  </si>
  <si>
    <t>FCF / Share</t>
  </si>
  <si>
    <t>(1) The significant increase in 2025A and Q1-Q2 2026 reflects CNPF's major capacity expansion in its coconut and meat processing facilities.</t>
  </si>
  <si>
    <t>Trading Multiples</t>
  </si>
  <si>
    <t>2028E</t>
  </si>
  <si>
    <t>EV / Sales</t>
  </si>
  <si>
    <t>Metric</t>
  </si>
  <si>
    <r>
      <rPr>
        <rFont val="Arial"/>
        <color theme="1"/>
      </rPr>
      <t xml:space="preserve">Net Debt / EBITDA </t>
    </r>
    <r>
      <rPr>
        <rFont val="Arial"/>
        <i/>
        <color theme="1"/>
      </rPr>
      <t>(1)</t>
    </r>
  </si>
  <si>
    <t>EV / EBIT</t>
  </si>
  <si>
    <t>San Miguel Food and Beverage, Inc. (FB)</t>
  </si>
  <si>
    <t>Comparable #3</t>
  </si>
  <si>
    <t>San Miguel Food and Beverage, Inc.</t>
  </si>
  <si>
    <r>
      <rPr>
        <rFont val="Arial"/>
        <b/>
        <color theme="1"/>
      </rPr>
      <t xml:space="preserve">Coverage Ratios </t>
    </r>
    <r>
      <rPr>
        <rFont val="Arial"/>
        <b val="0"/>
        <i/>
        <color theme="1"/>
      </rPr>
      <t>(2)</t>
    </r>
  </si>
  <si>
    <r>
      <rPr>
        <rFont val="Arial"/>
        <b/>
        <color theme="1"/>
      </rPr>
      <t xml:space="preserve">Long-term </t>
    </r>
    <r>
      <rPr>
        <rFont val="Arial"/>
        <b val="0"/>
        <i/>
        <color theme="1"/>
      </rPr>
      <t>(1)</t>
    </r>
  </si>
  <si>
    <t>(1) Sourced directly from equity research consensus estimates for MONDE's expected long-term earnings trajectory.</t>
  </si>
  <si>
    <t>(1) The resulting net cash reflects MONDE's substantial net cash position of ₱9,209.8M where cash exceeds total debt.</t>
  </si>
  <si>
    <t>(3)</t>
  </si>
  <si>
    <t>(2) Calculated using the LTM finance costs as the denominator.</t>
  </si>
  <si>
    <t>(1) Adds back non-operational and one-off operating charges included in reported SG&amp;A, primarily consisting of non-cash asset impairment losses on PPE and intangible assets and business restructuring and transformation expenses in the Meat Alternative/Protein business</t>
  </si>
  <si>
    <t>(2) Normalizes non-operating items below EBIT, including non-cash mark-to-market fair value gains/(losses) on the Guaranty Asset (Top-Up Deed), non-core foreign exchange fluctuations on trade payables/trust receipts, and mark-to-market gains/(losses) on FVTPL financial assets.</t>
  </si>
  <si>
    <r>
      <rPr>
        <rFont val="Arial"/>
        <i/>
        <color theme="1"/>
      </rPr>
      <t xml:space="preserve">(3) </t>
    </r>
    <r>
      <rPr>
        <rFont val="Arial"/>
        <i/>
        <color theme="1"/>
      </rPr>
      <t>Reflects the net tax effect of pre-tax adjustments to reconcile to recurring effective tax rates across jurisdictions, and normalizes one-off deferred tax items—notably the reversal of a ₱4,021.7M non-recurring DTL reduction benefit tied to asset impairments in FY2023.</t>
    </r>
  </si>
  <si>
    <r>
      <rPr>
        <rFont val="Arial"/>
        <b/>
        <color theme="1"/>
      </rPr>
      <t xml:space="preserve">Coverage Ratios </t>
    </r>
    <r>
      <rPr>
        <rFont val="Arial"/>
        <b val="0"/>
        <i/>
        <color theme="1"/>
      </rPr>
      <t>(1)</t>
    </r>
  </si>
  <si>
    <r>
      <rPr>
        <rFont val="Arial"/>
        <b/>
        <color theme="1"/>
      </rPr>
      <t xml:space="preserve">Long-term </t>
    </r>
    <r>
      <rPr>
        <rFont val="Arial"/>
        <b val="0"/>
        <i/>
        <color theme="1"/>
      </rPr>
      <t>(1)</t>
    </r>
  </si>
  <si>
    <t>(1) Sourced directly from equity research consensus estimates for FB's expected long-term earnings trajectory.</t>
  </si>
  <si>
    <t>(1) Calculated using the LTM interest expense and other financing charges as the denominator.</t>
  </si>
  <si>
    <t>(1) Normalizes the aggregate total of "Other Income (Charges) - Net", "Gain (Loss) on Sale of Investments and PPE", and "Equity Net Gain of Associate." This backs out significant non-core items including mark-to-market derivative gains/losses, foreign exchange fluctuations, non-cash impairment losses on PPE/spare parts, one-off casualty losses, and one-time tax credit certificates.</t>
  </si>
  <si>
    <t>(2) Reflects the tax shield/expense effect of the pre-tax adjustments calculated at SMFB's statutory corporate tax rate of 25.0% to arrive at core recurring net income.</t>
  </si>
  <si>
    <t>(1) The 2028E EPS is calculated using an EBIT flow-through, where:
• EBIT Growth = (2028E EBIT - 2027E EBIT) / 2027E EBIT = 6.66%
• 2028E EPS = 2027E EPS or ₱5.28 × (1 + 0.0666) = ₱5.63</t>
  </si>
  <si>
    <t>(2) Calculated using the consensus Cash Flow per share estimates (₱11.01, ₱11.55, and ₱12.35 for years 2026 to 2028, respectively) minus an estimated CapEx per share:
• CapEx Assumption: SMFB's historical 3-year average CapEx-to-Sales margin is 4.1% (₱15.7B in 2023, ₱16.7B in 2024, ₱16.7B in 2025).
• 2026E: ₱11.01 CFO/Share – [ (₱439,489M Sales × 4.1%) / 5,909.22M shares ] = ₱11.01 – ₱3.05 CapEx/Share = ₱7.96. The same process is done until 2028E.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</si>
</sst>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₱]#,##0.00"/>
    <numFmt numFmtId="165" formatCode="mmmm d"/>
    <numFmt numFmtId="166" formatCode="0.0%"/>
    <numFmt numFmtId="167" formatCode="#,##0.00;(#,##0.00)"/>
    <numFmt numFmtId="168" formatCode="0.0x"/>
    <numFmt numFmtId="169" formatCode="0.0%;(0.0%);0.0%"/>
    <numFmt numFmtId="170" formatCode="₱#,##0.00;(₱#,##0.00);&quot;₱„&quot;0.00"/>
    <numFmt numFmtId="171" formatCode="#,##0.0x;(#,##0.0x);&quot;x„&quot;0.0"/>
  </numFmts>
  <fonts count="14">
    <font>
      <sz val="10.0"/>
      <color rgb="FF000000"/>
      <name val="Arial"/>
      <scheme val="minor"/>
    </font>
    <font>
      <b/>
      <sz val="20.0"/>
      <color rgb="FFFFFFFF"/>
      <name val="Arial"/>
    </font>
    <font/>
    <font>
      <sz val="13.0"/>
      <color rgb="FFFFFFFF"/>
      <name val="Arial"/>
    </font>
    <font>
      <sz val="14.0"/>
      <color rgb="FFFFFFFF"/>
      <name val="Arial"/>
    </font>
    <font>
      <b/>
      <color rgb="FFFFFFFF"/>
      <name val="Arial"/>
    </font>
    <font>
      <sz val="10.0"/>
      <color theme="1"/>
      <name val="Arial"/>
    </font>
    <font>
      <color theme="1"/>
      <name val="Arial"/>
    </font>
    <font>
      <b/>
      <sz val="10.0"/>
      <color rgb="FFFFFFFF"/>
      <name val="Arial"/>
    </font>
    <font>
      <i/>
      <color rgb="FFFFFFFF"/>
      <name val="Arial"/>
    </font>
    <font>
      <b/>
      <color theme="1"/>
      <name val="Arial"/>
    </font>
    <font>
      <b/>
      <sz val="10.0"/>
      <color theme="1"/>
      <name val="Arial"/>
    </font>
    <font>
      <b/>
      <sz val="9.0"/>
      <color theme="1"/>
      <name val="Arial"/>
    </font>
    <font>
      <i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CC0000"/>
        <bgColor rgb="FFCC0000"/>
      </patternFill>
    </fill>
    <fill>
      <patternFill patternType="solid">
        <fgColor rgb="FF037488"/>
        <bgColor rgb="FF037488"/>
      </patternFill>
    </fill>
    <fill>
      <patternFill patternType="solid">
        <fgColor rgb="FFF3F3F3"/>
        <bgColor rgb="FFF3F3F3"/>
      </patternFill>
    </fill>
    <fill>
      <patternFill patternType="solid">
        <fgColor theme="5"/>
        <bgColor theme="5"/>
      </patternFill>
    </fill>
    <fill>
      <patternFill patternType="solid">
        <fgColor rgb="FF0C343D"/>
        <bgColor rgb="FF0C343D"/>
      </patternFill>
    </fill>
    <fill>
      <patternFill patternType="solid">
        <fgColor rgb="FFD9EAD3"/>
        <bgColor rgb="FFD9EAD3"/>
      </patternFill>
    </fill>
    <fill>
      <patternFill patternType="solid">
        <fgColor rgb="FFC5E2B8"/>
        <bgColor rgb="FFC5E2B8"/>
      </patternFill>
    </fill>
    <fill>
      <patternFill patternType="solid">
        <fgColor rgb="FF990000"/>
        <bgColor rgb="FF990000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4" fontId="1" numFmtId="0" xfId="0" applyBorder="1" applyFill="1" applyFont="1"/>
    <xf borderId="1" fillId="3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4" fontId="3" numFmtId="0" xfId="0" applyBorder="1" applyFill="1" applyFont="1"/>
    <xf borderId="0" fillId="0" fontId="1" numFmtId="0" xfId="0" applyFont="1"/>
    <xf borderId="5" fillId="0" fontId="2" numFmtId="0" xfId="0" applyBorder="1" applyFont="1"/>
    <xf borderId="4" fillId="3" fontId="3" numFmtId="0" xfId="0" applyBorder="1" applyFill="1" applyFont="1"/>
    <xf borderId="6" fillId="0" fontId="2" numFmtId="0" xfId="0" applyBorder="1" applyFont="1"/>
    <xf borderId="4" fillId="2" fontId="4" numFmtId="0" xfId="0" applyBorder="1" applyFill="1" applyFont="1"/>
    <xf borderId="7" fillId="4" fontId="5" numFmtId="0" xfId="0" applyBorder="1" applyFill="1" applyFont="1"/>
    <xf borderId="7" fillId="3" fontId="5" numFmtId="0" xfId="0" applyBorder="1" applyFill="1" applyFont="1"/>
    <xf borderId="8" fillId="0" fontId="2" numFmtId="0" xfId="0" applyBorder="1" applyFont="1"/>
    <xf borderId="0" fillId="0" fontId="3" numFmtId="0" xfId="0" applyFont="1"/>
    <xf borderId="1" fillId="4" fontId="5" numFmtId="0" xfId="0" applyBorder="1" applyFill="1" applyFont="1"/>
    <xf borderId="1" fillId="5" fontId="6" numFmtId="0" xfId="0" applyBorder="1" applyFill="1" applyFont="1"/>
    <xf borderId="2" fillId="5" fontId="6" numFmtId="0" xfId="0" applyBorder="1" applyFill="1" applyFont="1"/>
    <xf borderId="9" fillId="5" fontId="7" numFmtId="0" xfId="0" applyBorder="1" applyFill="1" applyFont="1"/>
    <xf borderId="1" fillId="3" fontId="5" numFmtId="0" xfId="0" applyBorder="1" applyFill="1" applyFont="1"/>
    <xf borderId="10" fillId="5" fontId="7" numFmtId="0" xfId="0" applyAlignment="1" applyBorder="1" applyFill="1" applyFont="1">
      <alignment horizontal="right"/>
    </xf>
    <xf borderId="2" fillId="7" fontId="8" numFmtId="0" xfId="0" applyAlignment="1" applyBorder="1" applyFill="1" applyFont="1">
      <alignment horizontal="center"/>
    </xf>
    <xf borderId="4" fillId="4" fontId="9" numFmtId="0" xfId="0" applyBorder="1" applyFill="1" applyFont="1"/>
    <xf borderId="1" fillId="6" fontId="1" numFmtId="0" xfId="0" applyBorder="1" applyFill="1" applyFont="1"/>
    <xf borderId="2" fillId="5" fontId="8" numFmtId="0" xfId="0" applyAlignment="1" applyBorder="1" applyFill="1" applyFont="1">
      <alignment horizontal="center"/>
    </xf>
    <xf borderId="4" fillId="3" fontId="9" numFmtId="0" xfId="0" applyBorder="1" applyFill="1" applyFont="1"/>
    <xf borderId="5" fillId="5" fontId="10" numFmtId="0" xfId="0" applyAlignment="1" applyBorder="1" applyFill="1" applyFont="1">
      <alignment horizontal="center"/>
    </xf>
    <xf borderId="4" fillId="5" fontId="11" numFmtId="0" xfId="0" applyAlignment="1" applyBorder="1" applyFill="1" applyFont="1">
      <alignment horizontal="center" shrinkToFit="0" wrapText="1"/>
    </xf>
    <xf borderId="6" fillId="5" fontId="10" numFmtId="0" xfId="0" applyAlignment="1" applyBorder="1" applyFill="1" applyFont="1">
      <alignment horizontal="center"/>
    </xf>
    <xf borderId="5" fillId="5" fontId="11" numFmtId="0" xfId="0" applyAlignment="1" applyBorder="1" applyFill="1" applyFont="1">
      <alignment horizontal="center" shrinkToFit="0" wrapText="1"/>
    </xf>
    <xf borderId="5" fillId="8" fontId="11" numFmtId="0" xfId="0" applyAlignment="1" applyBorder="1" applyFill="1" applyFont="1">
      <alignment horizontal="center" shrinkToFit="0" wrapText="1"/>
    </xf>
    <xf borderId="9" fillId="5" fontId="10" numFmtId="0" xfId="0" applyBorder="1" applyFill="1" applyFont="1"/>
    <xf borderId="0" fillId="5" fontId="10" numFmtId="164" xfId="0" applyFill="1" applyFont="1" applyNumberFormat="1"/>
    <xf borderId="4" fillId="6" fontId="3" numFmtId="0" xfId="0" applyBorder="1" applyFill="1" applyFont="1"/>
    <xf borderId="6" fillId="8" fontId="11" numFmtId="0" xfId="0" applyAlignment="1" applyBorder="1" applyFill="1" applyFont="1">
      <alignment horizontal="center" shrinkToFit="0" wrapText="1"/>
    </xf>
    <xf borderId="0" fillId="0" fontId="12" numFmtId="0" xfId="0" applyAlignment="1" applyFont="1">
      <alignment horizontal="center" shrinkToFit="0" wrapText="1"/>
    </xf>
    <xf borderId="9" fillId="5" fontId="11" numFmtId="0" xfId="0" applyAlignment="1" applyBorder="1" applyFill="1" applyFont="1">
      <alignment horizontal="center"/>
    </xf>
    <xf borderId="0" fillId="5" fontId="6" numFmtId="0" xfId="0" applyAlignment="1" applyFill="1" applyFont="1">
      <alignment horizontal="center"/>
    </xf>
    <xf borderId="0" fillId="8" fontId="6" numFmtId="0" xfId="0" applyAlignment="1" applyFill="1" applyFont="1">
      <alignment horizontal="center"/>
    </xf>
    <xf borderId="10" fillId="8" fontId="6" numFmtId="0" xfId="0" applyAlignment="1" applyBorder="1" applyFill="1" applyFont="1">
      <alignment horizontal="center"/>
    </xf>
    <xf borderId="7" fillId="6" fontId="5" numFmtId="0" xfId="0" applyBorder="1" applyFill="1" applyFont="1"/>
    <xf borderId="10" fillId="5" fontId="10" numFmtId="164" xfId="0" applyBorder="1" applyFill="1" applyFont="1" applyNumberFormat="1"/>
    <xf borderId="0" fillId="0" fontId="7" numFmtId="0" xfId="0" applyAlignment="1" applyFont="1">
      <alignment horizontal="center"/>
    </xf>
    <xf borderId="9" fillId="5" fontId="6" numFmtId="0" xfId="0" applyAlignment="1" applyBorder="1" applyFill="1" applyFont="1">
      <alignment horizontal="center"/>
    </xf>
    <xf borderId="0" fillId="5" fontId="7" numFmtId="164" xfId="0" applyFill="1" applyFont="1" applyNumberFormat="1"/>
    <xf borderId="10" fillId="5" fontId="7" numFmtId="164" xfId="0" applyBorder="1" applyFill="1" applyFont="1" applyNumberFormat="1"/>
    <xf borderId="0" fillId="5" fontId="6" numFmtId="164" xfId="0" applyAlignment="1" applyFill="1" applyFont="1" applyNumberFormat="1">
      <alignment horizontal="center"/>
    </xf>
    <xf borderId="10" fillId="5" fontId="7" numFmtId="165" xfId="0" applyBorder="1" applyFill="1" applyFont="1" applyNumberFormat="1"/>
    <xf borderId="1" fillId="6" fontId="5" numFmtId="0" xfId="0" applyBorder="1" applyFill="1" applyFont="1"/>
    <xf borderId="0" fillId="5" fontId="6" numFmtId="166" xfId="0" applyAlignment="1" applyFill="1" applyFont="1" applyNumberFormat="1">
      <alignment horizontal="center"/>
    </xf>
    <xf borderId="4" fillId="5" fontId="7" numFmtId="0" xfId="0" applyBorder="1" applyFill="1" applyFont="1"/>
    <xf borderId="5" fillId="5" fontId="7" numFmtId="167" xfId="0" applyBorder="1" applyFill="1" applyFont="1" applyNumberFormat="1"/>
    <xf borderId="0" fillId="8" fontId="6" numFmtId="168" xfId="0" applyAlignment="1" applyFill="1" applyFont="1" applyNumberFormat="1">
      <alignment horizontal="center"/>
    </xf>
    <xf borderId="0" fillId="5" fontId="6" numFmtId="168" xfId="0" applyAlignment="1" applyFill="1" applyFont="1" applyNumberFormat="1">
      <alignment horizontal="center"/>
    </xf>
    <xf borderId="6" fillId="5" fontId="7" numFmtId="167" xfId="0" applyBorder="1" applyFill="1" applyFont="1" applyNumberFormat="1"/>
    <xf borderId="0" fillId="5" fontId="7" numFmtId="167" xfId="0" applyFill="1" applyFont="1" applyNumberFormat="1"/>
    <xf borderId="0" fillId="8" fontId="6" numFmtId="166" xfId="0" applyAlignment="1" applyFill="1" applyFont="1" applyNumberFormat="1">
      <alignment horizontal="center"/>
    </xf>
    <xf borderId="10" fillId="5" fontId="7" numFmtId="167" xfId="0" applyBorder="1" applyFill="1" applyFont="1" applyNumberFormat="1"/>
    <xf borderId="10" fillId="8" fontId="6" numFmtId="166" xfId="0" applyAlignment="1" applyBorder="1" applyFill="1" applyFont="1" applyNumberFormat="1">
      <alignment horizontal="center"/>
    </xf>
    <xf borderId="0" fillId="0" fontId="7" numFmtId="166" xfId="0" applyAlignment="1" applyFont="1" applyNumberFormat="1">
      <alignment horizontal="center"/>
    </xf>
    <xf borderId="6" fillId="5" fontId="7" numFmtId="166" xfId="0" applyAlignment="1" applyBorder="1" applyFill="1" applyFont="1" applyNumberFormat="1">
      <alignment horizontal="right"/>
    </xf>
    <xf borderId="4" fillId="6" fontId="9" numFmtId="0" xfId="0" applyBorder="1" applyFill="1" applyFont="1"/>
    <xf borderId="0" fillId="8" fontId="6" numFmtId="169" xfId="0" applyAlignment="1" applyFill="1" applyFont="1" applyNumberFormat="1">
      <alignment horizontal="center"/>
    </xf>
    <xf borderId="4" fillId="5" fontId="6" numFmtId="0" xfId="0" applyAlignment="1" applyBorder="1" applyFill="1" applyFont="1">
      <alignment horizontal="center"/>
    </xf>
    <xf borderId="5" fillId="5" fontId="6" numFmtId="0" xfId="0" applyAlignment="1" applyBorder="1" applyFill="1" applyFont="1">
      <alignment horizontal="center"/>
    </xf>
    <xf borderId="5" fillId="5" fontId="6" numFmtId="164" xfId="0" applyAlignment="1" applyBorder="1" applyFill="1" applyFont="1" applyNumberFormat="1">
      <alignment horizontal="center"/>
    </xf>
    <xf borderId="5" fillId="5" fontId="6" numFmtId="166" xfId="0" applyAlignment="1" applyBorder="1" applyFill="1" applyFont="1" applyNumberFormat="1">
      <alignment horizontal="center"/>
    </xf>
    <xf borderId="5" fillId="8" fontId="6" numFmtId="168" xfId="0" applyAlignment="1" applyBorder="1" applyFill="1" applyFont="1" applyNumberFormat="1">
      <alignment horizontal="center"/>
    </xf>
    <xf borderId="5" fillId="5" fontId="6" numFmtId="168" xfId="0" applyAlignment="1" applyBorder="1" applyFill="1" applyFont="1" applyNumberFormat="1">
      <alignment horizontal="center"/>
    </xf>
    <xf borderId="5" fillId="8" fontId="6" numFmtId="166" xfId="0" applyAlignment="1" applyBorder="1" applyFill="1" applyFont="1" applyNumberFormat="1">
      <alignment horizontal="center"/>
    </xf>
    <xf borderId="6" fillId="8" fontId="6" numFmtId="166" xfId="0" applyAlignment="1" applyBorder="1" applyFill="1" applyFont="1" applyNumberFormat="1">
      <alignment horizontal="center"/>
    </xf>
    <xf borderId="0" fillId="5" fontId="6" numFmtId="0" xfId="0" applyFill="1" applyFont="1"/>
    <xf borderId="0" fillId="9" fontId="6" numFmtId="168" xfId="0" applyAlignment="1" applyFill="1" applyFont="1" applyNumberFormat="1">
      <alignment horizontal="center"/>
    </xf>
    <xf borderId="0" fillId="5" fontId="7" numFmtId="0" xfId="0" applyFill="1" applyFont="1"/>
    <xf borderId="10" fillId="5" fontId="7" numFmtId="0" xfId="0" applyBorder="1" applyFill="1" applyFont="1"/>
    <xf borderId="9" fillId="5" fontId="13" numFmtId="0" xfId="0" applyBorder="1" applyFill="1" applyFont="1"/>
    <xf borderId="10" fillId="5" fontId="13" numFmtId="166" xfId="0" applyBorder="1" applyFill="1" applyFont="1" applyNumberFormat="1"/>
    <xf borderId="0" fillId="9" fontId="6" numFmtId="166" xfId="0" applyAlignment="1" applyFill="1" applyFont="1" applyNumberFormat="1">
      <alignment horizontal="center"/>
    </xf>
    <xf borderId="10" fillId="9" fontId="6" numFmtId="166" xfId="0" applyAlignment="1" applyBorder="1" applyFill="1" applyFont="1" applyNumberFormat="1">
      <alignment horizontal="center"/>
    </xf>
    <xf borderId="5" fillId="5" fontId="7" numFmtId="167" xfId="0" applyAlignment="1" applyBorder="1" applyFill="1" applyFont="1" applyNumberFormat="1">
      <alignment horizontal="right"/>
    </xf>
    <xf borderId="6" fillId="5" fontId="7" numFmtId="167" xfId="0" applyAlignment="1" applyBorder="1" applyFill="1" applyFont="1" applyNumberFormat="1">
      <alignment horizontal="right"/>
    </xf>
    <xf borderId="4" fillId="5" fontId="10" numFmtId="0" xfId="0" applyBorder="1" applyFill="1" applyFont="1"/>
    <xf borderId="4" fillId="5" fontId="11" numFmtId="0" xfId="0" applyAlignment="1" applyBorder="1" applyFill="1" applyFont="1">
      <alignment horizontal="center"/>
    </xf>
    <xf borderId="5" fillId="5" fontId="6" numFmtId="0" xfId="0" applyBorder="1" applyFill="1" applyFont="1"/>
    <xf borderId="5" fillId="5" fontId="10" numFmtId="164" xfId="0" applyBorder="1" applyFill="1" applyFont="1" applyNumberFormat="1"/>
    <xf borderId="5" fillId="9" fontId="6" numFmtId="168" xfId="0" applyAlignment="1" applyBorder="1" applyFill="1" applyFont="1" applyNumberFormat="1">
      <alignment horizontal="center"/>
    </xf>
    <xf borderId="6" fillId="5" fontId="10" numFmtId="164" xfId="0" applyBorder="1" applyFill="1" applyFont="1" applyNumberFormat="1"/>
    <xf borderId="5" fillId="9" fontId="6" numFmtId="169" xfId="0" applyAlignment="1" applyBorder="1" applyFill="1" applyFont="1" applyNumberFormat="1">
      <alignment horizontal="center"/>
    </xf>
    <xf borderId="5" fillId="9" fontId="6" numFmtId="166" xfId="0" applyAlignment="1" applyBorder="1" applyFill="1" applyFont="1" applyNumberFormat="1">
      <alignment horizontal="center"/>
    </xf>
    <xf borderId="0" fillId="5" fontId="13" numFmtId="166" xfId="0" applyFill="1" applyFont="1" applyNumberFormat="1"/>
    <xf borderId="6" fillId="9" fontId="6" numFmtId="166" xfId="0" applyAlignment="1" applyBorder="1" applyFill="1" applyFont="1" applyNumberFormat="1">
      <alignment horizontal="center"/>
    </xf>
    <xf borderId="1" fillId="5" fontId="10" numFmtId="0" xfId="0" applyBorder="1" applyFill="1" applyFont="1"/>
    <xf borderId="4" fillId="5" fontId="13" numFmtId="0" xfId="0" applyBorder="1" applyFill="1" applyFont="1"/>
    <xf borderId="4" fillId="5" fontId="7" numFmtId="0" xfId="0" applyAlignment="1" applyBorder="1" applyFill="1" applyFont="1">
      <alignment horizontal="center"/>
    </xf>
    <xf borderId="0" fillId="5" fontId="10" numFmtId="170" xfId="0" applyFill="1" applyFont="1" applyNumberFormat="1"/>
    <xf borderId="5" fillId="8" fontId="10" numFmtId="0" xfId="0" applyAlignment="1" applyBorder="1" applyFill="1" applyFont="1">
      <alignment horizontal="center" shrinkToFit="0" wrapText="1"/>
    </xf>
    <xf borderId="5" fillId="5" fontId="12" numFmtId="0" xfId="0" applyAlignment="1" applyBorder="1" applyFill="1" applyFont="1">
      <alignment horizontal="center" shrinkToFit="0" wrapText="1"/>
    </xf>
    <xf borderId="5" fillId="5" fontId="10" numFmtId="0" xfId="0" applyAlignment="1" applyBorder="1" applyFill="1" applyFont="1">
      <alignment horizontal="center" shrinkToFit="0" wrapText="1"/>
    </xf>
    <xf borderId="10" fillId="5" fontId="7" numFmtId="167" xfId="0" applyAlignment="1" applyBorder="1" applyFill="1" applyFont="1" applyNumberFormat="1">
      <alignment horizontal="right"/>
    </xf>
    <xf borderId="6" fillId="8" fontId="10" numFmtId="0" xfId="0" applyAlignment="1" applyBorder="1" applyFill="1" applyFont="1">
      <alignment horizontal="center" shrinkToFit="0" wrapText="1"/>
    </xf>
    <xf borderId="9" fillId="5" fontId="7" numFmtId="0" xfId="0" applyAlignment="1" applyBorder="1" applyFill="1" applyFont="1">
      <alignment horizontal="center"/>
    </xf>
    <xf borderId="0" fillId="5" fontId="7" numFmtId="164" xfId="0" applyAlignment="1" applyFill="1" applyFont="1" applyNumberFormat="1">
      <alignment horizontal="center"/>
    </xf>
    <xf borderId="0" fillId="5" fontId="7" numFmtId="0" xfId="0" applyAlignment="1" applyFill="1" applyFont="1">
      <alignment horizontal="center"/>
    </xf>
    <xf borderId="0" fillId="8" fontId="6" numFmtId="0" xfId="0" applyAlignment="1" applyFill="1" applyFont="1">
      <alignment horizontal="center" readingOrder="0"/>
    </xf>
    <xf borderId="0" fillId="8" fontId="7" numFmtId="0" xfId="0" applyAlignment="1" applyFill="1" applyFont="1">
      <alignment horizontal="center"/>
    </xf>
    <xf borderId="0" fillId="5" fontId="7" numFmtId="167" xfId="0" applyAlignment="1" applyFill="1" applyFont="1" applyNumberFormat="1">
      <alignment horizontal="center"/>
    </xf>
    <xf borderId="10" fillId="8" fontId="7" numFmtId="0" xfId="0" applyAlignment="1" applyBorder="1" applyFill="1" applyFont="1">
      <alignment horizontal="center"/>
    </xf>
    <xf borderId="5" fillId="5" fontId="7" numFmtId="164" xfId="0" applyAlignment="1" applyBorder="1" applyFill="1" applyFont="1" applyNumberFormat="1">
      <alignment horizontal="center"/>
    </xf>
    <xf borderId="5" fillId="5" fontId="7" numFmtId="0" xfId="0" applyAlignment="1" applyBorder="1" applyFill="1" applyFont="1">
      <alignment horizontal="center"/>
    </xf>
    <xf borderId="5" fillId="8" fontId="7" numFmtId="0" xfId="0" applyAlignment="1" applyBorder="1" applyFill="1" applyFont="1">
      <alignment horizontal="center"/>
    </xf>
    <xf borderId="5" fillId="5" fontId="7" numFmtId="167" xfId="0" applyAlignment="1" applyBorder="1" applyFill="1" applyFont="1" applyNumberFormat="1">
      <alignment horizontal="center"/>
    </xf>
    <xf borderId="6" fillId="8" fontId="7" numFmtId="0" xfId="0" applyAlignment="1" applyBorder="1" applyFill="1" applyFont="1">
      <alignment horizontal="center"/>
    </xf>
    <xf borderId="0" fillId="5" fontId="10" numFmtId="170" xfId="0" applyFill="1" applyFont="1" applyNumberFormat="1"/>
    <xf borderId="0" fillId="5" fontId="7" numFmtId="167" xfId="0" applyAlignment="1" applyFill="1" applyFont="1" applyNumberFormat="1">
      <alignment horizontal="right"/>
    </xf>
    <xf borderId="5" fillId="5" fontId="7" numFmtId="0" xfId="0" applyAlignment="1" applyBorder="1" applyFill="1" applyFont="1">
      <alignment horizontal="right"/>
    </xf>
    <xf borderId="5" fillId="8" fontId="10" numFmtId="0" xfId="0" applyAlignment="1" applyBorder="1" applyFill="1" applyFont="1">
      <alignment horizontal="center"/>
    </xf>
    <xf borderId="6" fillId="5" fontId="7" numFmtId="0" xfId="0" applyAlignment="1" applyBorder="1" applyFill="1" applyFont="1">
      <alignment horizontal="right"/>
    </xf>
    <xf borderId="6" fillId="8" fontId="10" numFmtId="0" xfId="0" applyAlignment="1" applyBorder="1" applyFill="1" applyFont="1">
      <alignment horizontal="center"/>
    </xf>
    <xf borderId="10" fillId="5" fontId="7" numFmtId="166" xfId="0" applyBorder="1" applyFill="1" applyFont="1" applyNumberFormat="1"/>
    <xf borderId="5" fillId="5" fontId="10" numFmtId="170" xfId="0" applyBorder="1" applyFill="1" applyFont="1" applyNumberFormat="1"/>
    <xf borderId="5" fillId="5" fontId="13" numFmtId="164" xfId="0" applyBorder="1" applyFill="1" applyFont="1" applyNumberFormat="1"/>
    <xf borderId="6" fillId="5" fontId="13" numFmtId="164" xfId="0" applyBorder="1" applyFill="1" applyFont="1" applyNumberFormat="1"/>
    <xf borderId="6" fillId="5" fontId="7" numFmtId="166" xfId="0" applyBorder="1" applyFill="1" applyFont="1" applyNumberFormat="1"/>
    <xf borderId="0" fillId="5" fontId="7" numFmtId="0" xfId="0" applyAlignment="1" applyFill="1" applyFont="1">
      <alignment horizontal="right"/>
    </xf>
    <xf quotePrefix="1" borderId="0" fillId="0" fontId="13" numFmtId="0" xfId="0" applyAlignment="1" applyFont="1">
      <alignment horizontal="right"/>
    </xf>
    <xf borderId="11" fillId="0" fontId="2" numFmtId="0" xfId="0" applyBorder="1" applyFont="1"/>
    <xf borderId="0" fillId="0" fontId="7" numFmtId="0" xfId="0" applyAlignment="1" applyFont="1">
      <alignment horizontal="right"/>
    </xf>
    <xf borderId="0" fillId="0" fontId="13" numFmtId="0" xfId="0" applyAlignment="1" applyFont="1">
      <alignment horizontal="right"/>
    </xf>
    <xf borderId="1" fillId="5" fontId="7" numFmtId="0" xfId="0" applyBorder="1" applyFill="1" applyFont="1"/>
    <xf borderId="2" fillId="5" fontId="10" numFmtId="0" xfId="0" applyAlignment="1" applyBorder="1" applyFill="1" applyFont="1">
      <alignment horizontal="center"/>
    </xf>
    <xf borderId="3" fillId="5" fontId="10" numFmtId="0" xfId="0" applyAlignment="1" applyBorder="1" applyFill="1" applyFont="1">
      <alignment horizontal="center"/>
    </xf>
    <xf borderId="0" fillId="5" fontId="7" numFmtId="166" xfId="0" applyFill="1" applyFont="1" applyNumberFormat="1"/>
    <xf borderId="10" fillId="5" fontId="7" numFmtId="168" xfId="0" applyBorder="1" applyFill="1" applyFont="1" applyNumberFormat="1"/>
    <xf borderId="5" fillId="5" fontId="7" numFmtId="4" xfId="0" applyBorder="1" applyFill="1" applyFont="1" applyNumberFormat="1"/>
    <xf borderId="0" fillId="5" fontId="7" numFmtId="169" xfId="0" applyFill="1" applyFont="1" applyNumberFormat="1"/>
    <xf borderId="6" fillId="5" fontId="7" numFmtId="4" xfId="0" applyBorder="1" applyFill="1" applyFont="1" applyNumberFormat="1"/>
    <xf borderId="10" fillId="5" fontId="7" numFmtId="169" xfId="0" applyBorder="1" applyFill="1" applyFont="1" applyNumberFormat="1"/>
    <xf borderId="5" fillId="5" fontId="7" numFmtId="0" xfId="0" applyBorder="1" applyFill="1" applyFont="1"/>
    <xf borderId="0" fillId="0" fontId="13" numFmtId="0" xfId="0" applyFont="1"/>
    <xf borderId="0" fillId="5" fontId="7" numFmtId="170" xfId="0" applyFill="1" applyFont="1" applyNumberFormat="1"/>
    <xf borderId="6" fillId="5" fontId="7" numFmtId="168" xfId="0" applyBorder="1" applyFill="1" applyFont="1" applyNumberFormat="1"/>
    <xf borderId="0" fillId="0" fontId="13" numFmtId="0" xfId="0" applyAlignment="1" applyFont="1">
      <alignment shrinkToFit="0" wrapText="1"/>
    </xf>
    <xf borderId="7" fillId="5" fontId="10" numFmtId="0" xfId="0" applyBorder="1" applyFill="1" applyFont="1"/>
    <xf borderId="11" fillId="5" fontId="10" numFmtId="164" xfId="0" applyBorder="1" applyFill="1" applyFont="1" applyNumberFormat="1"/>
    <xf borderId="8" fillId="5" fontId="10" numFmtId="164" xfId="0" applyBorder="1" applyFill="1" applyFont="1" applyNumberFormat="1"/>
    <xf borderId="0" fillId="0" fontId="7" numFmtId="0" xfId="0" applyAlignment="1" applyFont="1">
      <alignment shrinkToFit="0" wrapText="1"/>
    </xf>
    <xf borderId="5" fillId="5" fontId="13" numFmtId="166" xfId="0" applyBorder="1" applyFill="1" applyFont="1" applyNumberFormat="1"/>
    <xf borderId="6" fillId="5" fontId="13" numFmtId="166" xfId="0" applyBorder="1" applyFill="1" applyFont="1" applyNumberFormat="1"/>
    <xf borderId="10" fillId="5" fontId="10" numFmtId="170" xfId="0" applyBorder="1" applyFill="1" applyFont="1" applyNumberFormat="1"/>
    <xf borderId="9" fillId="5" fontId="10" numFmtId="0" xfId="0" applyAlignment="1" applyBorder="1" applyFill="1" applyFont="1">
      <alignment vertical="bottom"/>
    </xf>
    <xf borderId="0" fillId="5" fontId="10" numFmtId="168" xfId="0" applyFill="1" applyFont="1" applyNumberFormat="1"/>
    <xf borderId="10" fillId="5" fontId="10" numFmtId="168" xfId="0" applyBorder="1" applyFill="1" applyFont="1" applyNumberFormat="1"/>
    <xf borderId="9" fillId="5" fontId="7" numFmtId="0" xfId="0" applyAlignment="1" applyBorder="1" applyFill="1" applyFont="1">
      <alignment vertical="bottom"/>
    </xf>
    <xf borderId="10" fillId="5" fontId="7" numFmtId="171" xfId="0" applyBorder="1" applyFill="1" applyFont="1" applyNumberFormat="1"/>
    <xf borderId="0" fillId="5" fontId="10" numFmtId="169" xfId="0" applyFill="1" applyFont="1" applyNumberFormat="1"/>
    <xf borderId="0" fillId="5" fontId="10" numFmtId="166" xfId="0" applyFill="1" applyFont="1" applyNumberFormat="1"/>
    <xf borderId="10" fillId="5" fontId="10" numFmtId="166" xfId="0" applyBorder="1" applyFill="1" applyFont="1" applyNumberFormat="1"/>
    <xf borderId="4" fillId="5" fontId="7" numFmtId="0" xfId="0" applyAlignment="1" applyBorder="1" applyFill="1" applyFont="1">
      <alignment vertical="bottom"/>
    </xf>
    <xf borderId="1" fillId="10" fontId="1" numFmtId="0" xfId="0" applyBorder="1" applyFill="1" applyFont="1"/>
    <xf borderId="5" fillId="5" fontId="7" numFmtId="170" xfId="0" applyBorder="1" applyFill="1" applyFont="1" applyNumberFormat="1"/>
    <xf borderId="5" fillId="5" fontId="7" numFmtId="164" xfId="0" applyBorder="1" applyFill="1" applyFont="1" applyNumberFormat="1"/>
    <xf borderId="6" fillId="5" fontId="7" numFmtId="164" xfId="0" applyBorder="1" applyFill="1" applyFont="1" applyNumberFormat="1"/>
    <xf borderId="0" fillId="0" fontId="7" numFmtId="10" xfId="0" applyFont="1" applyNumberFormat="1"/>
    <xf borderId="4" fillId="10" fontId="3" numFmtId="0" xfId="0" applyBorder="1" applyFill="1" applyFont="1"/>
    <xf borderId="7" fillId="10" fontId="5" numFmtId="0" xfId="0" applyBorder="1" applyFill="1" applyFont="1"/>
    <xf borderId="1" fillId="10" fontId="5" numFmtId="0" xfId="0" applyBorder="1" applyFill="1" applyFont="1"/>
    <xf borderId="4" fillId="10" fontId="9" numFmtId="0" xfId="0" applyBorder="1" applyFill="1" applyFont="1"/>
    <xf borderId="10" fillId="5" fontId="7" numFmtId="164" xfId="0" applyAlignment="1" applyBorder="1" applyFill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5.38"/>
    <col customWidth="1" min="2" max="3" width="13.88"/>
    <col customWidth="1" min="4" max="4" width="23.25"/>
    <col customWidth="1" min="5" max="5" width="19.38"/>
    <col customWidth="1" min="6" max="6" width="22.25"/>
    <col customWidth="1" min="7" max="7" width="13.25"/>
    <col customWidth="1" min="10" max="10" width="14.13"/>
    <col customWidth="1" min="12" max="12" width="15.0"/>
  </cols>
  <sheetData>
    <row r="1" ht="15.75" customHeight="1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/>
      <c r="U1" s="7"/>
    </row>
    <row r="2" ht="15.75" customHeight="1">
      <c r="A2" s="11" t="s">
        <v>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10"/>
      <c r="U2" s="15"/>
    </row>
    <row r="3" ht="15.75" customHeight="1"/>
    <row r="4" ht="15.75" customHeight="1">
      <c r="A4" s="17"/>
      <c r="B4" s="18"/>
      <c r="C4" s="18"/>
      <c r="D4" s="18"/>
      <c r="E4" s="18"/>
      <c r="F4" s="18"/>
      <c r="G4" s="22" t="s">
        <v>12</v>
      </c>
      <c r="H4" s="4"/>
      <c r="I4" s="4"/>
      <c r="J4" s="25"/>
      <c r="K4" s="25"/>
      <c r="L4" s="25"/>
      <c r="M4" s="22" t="s">
        <v>16</v>
      </c>
      <c r="N4" s="4"/>
      <c r="O4" s="4"/>
      <c r="P4" s="18"/>
      <c r="Q4" s="18"/>
      <c r="R4" s="22" t="s">
        <v>20</v>
      </c>
      <c r="S4" s="4"/>
      <c r="T4" s="5"/>
    </row>
    <row r="5" ht="15.75" customHeight="1">
      <c r="A5" s="28" t="s">
        <v>26</v>
      </c>
      <c r="B5" s="30" t="s">
        <v>17</v>
      </c>
      <c r="C5" s="30" t="s">
        <v>28</v>
      </c>
      <c r="D5" s="30" t="s">
        <v>29</v>
      </c>
      <c r="E5" s="30" t="s">
        <v>30</v>
      </c>
      <c r="F5" s="30" t="s">
        <v>31</v>
      </c>
      <c r="G5" s="31" t="s">
        <v>32</v>
      </c>
      <c r="H5" s="31" t="s">
        <v>37</v>
      </c>
      <c r="I5" s="31" t="s">
        <v>39</v>
      </c>
      <c r="J5" s="30" t="s">
        <v>40</v>
      </c>
      <c r="K5" s="30" t="s">
        <v>41</v>
      </c>
      <c r="L5" s="30" t="s">
        <v>42</v>
      </c>
      <c r="M5" s="31" t="s">
        <v>32</v>
      </c>
      <c r="N5" s="31" t="s">
        <v>37</v>
      </c>
      <c r="O5" s="31" t="s">
        <v>39</v>
      </c>
      <c r="P5" s="30" t="s">
        <v>43</v>
      </c>
      <c r="Q5" s="30" t="s">
        <v>44</v>
      </c>
      <c r="R5" s="31" t="s">
        <v>32</v>
      </c>
      <c r="S5" s="31" t="s">
        <v>37</v>
      </c>
      <c r="T5" s="35" t="s">
        <v>39</v>
      </c>
      <c r="U5" s="36"/>
    </row>
    <row r="6" ht="15.75" customHeight="1">
      <c r="A6" s="37" t="s">
        <v>45</v>
      </c>
      <c r="B6" s="38"/>
      <c r="C6" s="38"/>
      <c r="D6" s="38"/>
      <c r="E6" s="38"/>
      <c r="F6" s="38"/>
      <c r="G6" s="39"/>
      <c r="H6" s="39"/>
      <c r="I6" s="39"/>
      <c r="J6" s="38"/>
      <c r="K6" s="38"/>
      <c r="L6" s="38"/>
      <c r="M6" s="39"/>
      <c r="N6" s="39"/>
      <c r="O6" s="39"/>
      <c r="P6" s="38"/>
      <c r="Q6" s="38"/>
      <c r="R6" s="39"/>
      <c r="S6" s="39"/>
      <c r="T6" s="40"/>
      <c r="U6" s="43"/>
    </row>
    <row r="7" ht="15.75" customHeight="1">
      <c r="A7" s="44" t="s">
        <v>47</v>
      </c>
      <c r="B7" s="38" t="s">
        <v>48</v>
      </c>
      <c r="C7" s="47">
        <v>7.12</v>
      </c>
      <c r="D7" s="50">
        <v>0.942</v>
      </c>
      <c r="E7" s="47">
        <v>127936.5</v>
      </c>
      <c r="F7" s="47">
        <v>118847.3</v>
      </c>
      <c r="G7" s="53">
        <v>7.4</v>
      </c>
      <c r="H7" s="53">
        <v>7.1</v>
      </c>
      <c r="I7" s="53">
        <v>6.7</v>
      </c>
      <c r="J7" s="50">
        <v>0.181</v>
      </c>
      <c r="K7" s="54">
        <v>0.3</v>
      </c>
      <c r="L7" s="54">
        <v>41.9</v>
      </c>
      <c r="M7" s="53">
        <v>12.2</v>
      </c>
      <c r="N7" s="53">
        <v>11.7</v>
      </c>
      <c r="O7" s="53">
        <v>11.1</v>
      </c>
      <c r="P7" s="50">
        <v>0.091</v>
      </c>
      <c r="Q7" s="50">
        <v>0.135</v>
      </c>
      <c r="R7" s="57">
        <v>0.075</v>
      </c>
      <c r="S7" s="57">
        <v>0.042</v>
      </c>
      <c r="T7" s="59">
        <v>0.072</v>
      </c>
      <c r="U7" s="60"/>
    </row>
    <row r="8" ht="15.75" customHeight="1">
      <c r="A8" s="37" t="s">
        <v>53</v>
      </c>
      <c r="B8" s="38"/>
      <c r="C8" s="38"/>
      <c r="D8" s="38"/>
      <c r="E8" s="38"/>
      <c r="F8" s="38"/>
      <c r="G8" s="39"/>
      <c r="H8" s="39"/>
      <c r="I8" s="39"/>
      <c r="J8" s="38"/>
      <c r="K8" s="38"/>
      <c r="L8" s="38"/>
      <c r="M8" s="39"/>
      <c r="N8" s="39"/>
      <c r="O8" s="39"/>
      <c r="P8" s="38"/>
      <c r="Q8" s="38"/>
      <c r="R8" s="39"/>
      <c r="S8" s="39"/>
      <c r="T8" s="40"/>
      <c r="U8" s="43"/>
    </row>
    <row r="9" ht="15.75" customHeight="1">
      <c r="A9" s="44" t="s">
        <v>56</v>
      </c>
      <c r="B9" s="38" t="s">
        <v>22</v>
      </c>
      <c r="C9" s="47">
        <v>62.1</v>
      </c>
      <c r="D9" s="50">
        <v>0.729</v>
      </c>
      <c r="E9" s="47">
        <v>132569.84</v>
      </c>
      <c r="F9" s="47">
        <v>147655.83</v>
      </c>
      <c r="G9" s="53">
        <v>6.6</v>
      </c>
      <c r="H9" s="53">
        <v>6.2</v>
      </c>
      <c r="I9" s="53">
        <v>6.0</v>
      </c>
      <c r="J9" s="50">
        <v>0.136</v>
      </c>
      <c r="K9" s="54">
        <v>1.2</v>
      </c>
      <c r="L9" s="54">
        <v>16.3</v>
      </c>
      <c r="M9" s="53">
        <v>11.9</v>
      </c>
      <c r="N9" s="53">
        <v>11.2</v>
      </c>
      <c r="O9" s="53">
        <v>10.4</v>
      </c>
      <c r="P9" s="50">
        <v>0.089</v>
      </c>
      <c r="Q9" s="50">
        <v>0.135</v>
      </c>
      <c r="R9" s="57">
        <v>0.081</v>
      </c>
      <c r="S9" s="57">
        <v>0.055</v>
      </c>
      <c r="T9" s="59">
        <v>0.072</v>
      </c>
      <c r="U9" s="60"/>
    </row>
    <row r="10" ht="15.75" customHeight="1">
      <c r="A10" s="44" t="s">
        <v>57</v>
      </c>
      <c r="B10" s="38" t="s">
        <v>18</v>
      </c>
      <c r="C10" s="47">
        <v>32.85</v>
      </c>
      <c r="D10" s="50">
        <v>0.795</v>
      </c>
      <c r="E10" s="47">
        <v>116363.24</v>
      </c>
      <c r="F10" s="47">
        <v>129211.51</v>
      </c>
      <c r="G10" s="53">
        <v>10.9</v>
      </c>
      <c r="H10" s="53">
        <v>10.4</v>
      </c>
      <c r="I10" s="53">
        <v>9.5</v>
      </c>
      <c r="J10" s="50">
        <v>0.133</v>
      </c>
      <c r="K10" s="54">
        <v>1.2</v>
      </c>
      <c r="L10" s="54">
        <v>22.1</v>
      </c>
      <c r="M10" s="53">
        <v>15.6</v>
      </c>
      <c r="N10" s="53">
        <v>15.4</v>
      </c>
      <c r="O10" s="53">
        <v>14.3</v>
      </c>
      <c r="P10" s="50">
        <v>0.089</v>
      </c>
      <c r="Q10" s="50">
        <v>0.073</v>
      </c>
      <c r="R10" s="63">
        <v>-0.03</v>
      </c>
      <c r="S10" s="57">
        <v>0.041</v>
      </c>
      <c r="T10" s="59">
        <v>0.061</v>
      </c>
      <c r="U10" s="60"/>
    </row>
    <row r="11" ht="15.75" customHeight="1">
      <c r="A11" s="64" t="s">
        <v>60</v>
      </c>
      <c r="B11" s="65" t="s">
        <v>61</v>
      </c>
      <c r="C11" s="66">
        <v>48.6</v>
      </c>
      <c r="D11" s="67">
        <v>0.866</v>
      </c>
      <c r="E11" s="66">
        <v>287188.09</v>
      </c>
      <c r="F11" s="66">
        <v>390219.09</v>
      </c>
      <c r="G11" s="68">
        <v>4.9</v>
      </c>
      <c r="H11" s="68">
        <v>5.2</v>
      </c>
      <c r="I11" s="68">
        <v>5.1</v>
      </c>
      <c r="J11" s="67">
        <v>0.17</v>
      </c>
      <c r="K11" s="69">
        <v>1.2</v>
      </c>
      <c r="L11" s="69">
        <v>17.7</v>
      </c>
      <c r="M11" s="68">
        <v>9.9</v>
      </c>
      <c r="N11" s="68">
        <v>9.9</v>
      </c>
      <c r="O11" s="68">
        <v>9.2</v>
      </c>
      <c r="P11" s="67">
        <v>0.112</v>
      </c>
      <c r="Q11" s="67">
        <v>0.105</v>
      </c>
      <c r="R11" s="70">
        <v>0.106</v>
      </c>
      <c r="S11" s="70">
        <v>0.164</v>
      </c>
      <c r="T11" s="71">
        <v>0.172</v>
      </c>
      <c r="U11" s="60"/>
    </row>
    <row r="12" ht="15.75" customHeight="1">
      <c r="A12" s="37" t="s">
        <v>67</v>
      </c>
      <c r="B12" s="72"/>
      <c r="G12" s="73">
        <f t="shared" ref="G12:T12" si="1">(G9+G10+G11)/3</f>
        <v>7.466666667</v>
      </c>
      <c r="H12" s="73">
        <f t="shared" si="1"/>
        <v>7.266666667</v>
      </c>
      <c r="I12" s="73">
        <f t="shared" si="1"/>
        <v>6.866666667</v>
      </c>
      <c r="J12" s="50">
        <f t="shared" si="1"/>
        <v>0.1463333333</v>
      </c>
      <c r="K12" s="54">
        <f t="shared" si="1"/>
        <v>1.2</v>
      </c>
      <c r="L12" s="54">
        <f t="shared" si="1"/>
        <v>18.7</v>
      </c>
      <c r="M12" s="73">
        <f t="shared" si="1"/>
        <v>12.46666667</v>
      </c>
      <c r="N12" s="73">
        <f t="shared" si="1"/>
        <v>12.16666667</v>
      </c>
      <c r="O12" s="73">
        <f t="shared" si="1"/>
        <v>11.3</v>
      </c>
      <c r="P12" s="50">
        <f t="shared" si="1"/>
        <v>0.09666666667</v>
      </c>
      <c r="Q12" s="50">
        <f t="shared" si="1"/>
        <v>0.1043333333</v>
      </c>
      <c r="R12" s="78">
        <f t="shared" si="1"/>
        <v>0.05233333333</v>
      </c>
      <c r="S12" s="78">
        <f t="shared" si="1"/>
        <v>0.08666666667</v>
      </c>
      <c r="T12" s="79">
        <f t="shared" si="1"/>
        <v>0.1016666667</v>
      </c>
      <c r="U12" s="60"/>
    </row>
    <row r="13" ht="15.75" customHeight="1">
      <c r="A13" s="37" t="s">
        <v>73</v>
      </c>
      <c r="B13" s="72"/>
      <c r="G13" s="73">
        <v>6.6</v>
      </c>
      <c r="H13" s="73">
        <v>6.2</v>
      </c>
      <c r="I13" s="73">
        <v>6.0</v>
      </c>
      <c r="J13" s="50">
        <v>0.136</v>
      </c>
      <c r="K13" s="54">
        <f t="shared" ref="K13:K15" si="2">(K10+K11+K12)/3</f>
        <v>1.2</v>
      </c>
      <c r="L13" s="54">
        <v>17.7</v>
      </c>
      <c r="M13" s="73">
        <v>11.9</v>
      </c>
      <c r="N13" s="73">
        <v>11.2</v>
      </c>
      <c r="O13" s="73">
        <v>10.4</v>
      </c>
      <c r="P13" s="50">
        <v>0.089</v>
      </c>
      <c r="Q13" s="50">
        <v>0.105</v>
      </c>
      <c r="R13" s="78">
        <v>0.081</v>
      </c>
      <c r="S13" s="78">
        <v>0.055</v>
      </c>
      <c r="T13" s="79">
        <v>0.072</v>
      </c>
      <c r="U13" s="60"/>
    </row>
    <row r="14" ht="15.75" customHeight="1">
      <c r="A14" s="37" t="s">
        <v>82</v>
      </c>
      <c r="B14" s="72"/>
      <c r="G14" s="73">
        <v>10.9</v>
      </c>
      <c r="H14" s="73">
        <v>10.4</v>
      </c>
      <c r="I14" s="73">
        <v>9.5</v>
      </c>
      <c r="J14" s="50">
        <v>0.17</v>
      </c>
      <c r="K14" s="54">
        <f t="shared" si="2"/>
        <v>1.2</v>
      </c>
      <c r="L14" s="54">
        <v>22.1</v>
      </c>
      <c r="M14" s="73">
        <v>15.6</v>
      </c>
      <c r="N14" s="73">
        <v>15.4</v>
      </c>
      <c r="O14" s="73">
        <v>14.3</v>
      </c>
      <c r="P14" s="50">
        <v>0.112</v>
      </c>
      <c r="Q14" s="50">
        <v>0.135</v>
      </c>
      <c r="R14" s="78">
        <v>0.106</v>
      </c>
      <c r="S14" s="78">
        <v>0.164</v>
      </c>
      <c r="T14" s="79">
        <v>0.172</v>
      </c>
      <c r="U14" s="60"/>
    </row>
    <row r="15" ht="15.75" customHeight="1">
      <c r="A15" s="83" t="s">
        <v>84</v>
      </c>
      <c r="B15" s="84"/>
      <c r="C15" s="8"/>
      <c r="D15" s="8"/>
      <c r="E15" s="8"/>
      <c r="F15" s="8"/>
      <c r="G15" s="86">
        <v>4.9</v>
      </c>
      <c r="H15" s="86">
        <v>5.2</v>
      </c>
      <c r="I15" s="86">
        <v>5.1</v>
      </c>
      <c r="J15" s="67">
        <v>0.133</v>
      </c>
      <c r="K15" s="69">
        <f t="shared" si="2"/>
        <v>1.2</v>
      </c>
      <c r="L15" s="69">
        <v>16.3</v>
      </c>
      <c r="M15" s="86">
        <v>9.9</v>
      </c>
      <c r="N15" s="86">
        <v>9.9</v>
      </c>
      <c r="O15" s="86">
        <v>9.2</v>
      </c>
      <c r="P15" s="67">
        <v>0.089</v>
      </c>
      <c r="Q15" s="67">
        <v>0.073</v>
      </c>
      <c r="R15" s="88">
        <v>-0.03</v>
      </c>
      <c r="S15" s="89">
        <v>0.041</v>
      </c>
      <c r="T15" s="91">
        <v>0.061</v>
      </c>
      <c r="U15" s="60"/>
    </row>
    <row r="16" ht="15.75" customHeight="1"/>
    <row r="17" ht="15.75" customHeight="1">
      <c r="A17" s="1" t="s">
        <v>88</v>
      </c>
      <c r="B17" s="4"/>
      <c r="C17" s="4"/>
      <c r="D17" s="4"/>
      <c r="E17" s="4"/>
      <c r="F17" s="4"/>
      <c r="G17" s="4"/>
      <c r="H17" s="5"/>
    </row>
    <row r="18" ht="15.75" customHeight="1">
      <c r="A18" s="11" t="s">
        <v>7</v>
      </c>
      <c r="B18" s="8"/>
      <c r="C18" s="8"/>
      <c r="D18" s="8"/>
      <c r="E18" s="8"/>
      <c r="F18" s="8"/>
      <c r="G18" s="8"/>
      <c r="H18" s="10"/>
    </row>
    <row r="19" ht="15.75" customHeight="1"/>
    <row r="20" ht="15.75" customHeight="1">
      <c r="A20" s="92" t="s">
        <v>91</v>
      </c>
      <c r="B20" s="4"/>
      <c r="C20" s="4"/>
      <c r="D20" s="4"/>
      <c r="E20" s="4"/>
      <c r="F20" s="4"/>
      <c r="G20" s="4"/>
      <c r="H20" s="5"/>
    </row>
    <row r="21" ht="15.75" customHeight="1">
      <c r="A21" s="93" t="s">
        <v>94</v>
      </c>
      <c r="B21" s="8"/>
      <c r="C21" s="8"/>
      <c r="D21" s="8"/>
      <c r="E21" s="8"/>
      <c r="F21" s="8"/>
      <c r="G21" s="8"/>
      <c r="H21" s="10"/>
    </row>
    <row r="22" ht="15.75" customHeight="1">
      <c r="A22" s="94"/>
      <c r="B22" s="27" t="s">
        <v>96</v>
      </c>
      <c r="C22" s="27" t="s">
        <v>97</v>
      </c>
      <c r="D22" s="96" t="s">
        <v>98</v>
      </c>
      <c r="E22" s="97" t="s">
        <v>100</v>
      </c>
      <c r="F22" s="96" t="s">
        <v>101</v>
      </c>
      <c r="G22" s="98" t="s">
        <v>103</v>
      </c>
      <c r="H22" s="100" t="s">
        <v>105</v>
      </c>
    </row>
    <row r="23" ht="15.75" customHeight="1">
      <c r="A23" s="101" t="s">
        <v>32</v>
      </c>
      <c r="B23" s="102">
        <v>16147.9</v>
      </c>
      <c r="C23" s="103" t="s">
        <v>107</v>
      </c>
      <c r="D23" s="104" t="s">
        <v>109</v>
      </c>
      <c r="E23" s="102">
        <v>9089.2</v>
      </c>
      <c r="F23" s="105" t="s">
        <v>111</v>
      </c>
      <c r="G23" s="106">
        <v>17968.61</v>
      </c>
      <c r="H23" s="107" t="s">
        <v>112</v>
      </c>
    </row>
    <row r="24" ht="15.75" customHeight="1">
      <c r="A24" s="101" t="s">
        <v>37</v>
      </c>
      <c r="B24" s="102">
        <v>16651.0</v>
      </c>
      <c r="C24" s="103" t="s">
        <v>114</v>
      </c>
      <c r="D24" s="105" t="s">
        <v>115</v>
      </c>
      <c r="E24" s="102">
        <v>9089.2</v>
      </c>
      <c r="F24" s="105" t="s">
        <v>116</v>
      </c>
      <c r="G24" s="106">
        <v>17968.61</v>
      </c>
      <c r="H24" s="107" t="s">
        <v>117</v>
      </c>
    </row>
    <row r="25" ht="15.75" customHeight="1">
      <c r="A25" s="94" t="s">
        <v>39</v>
      </c>
      <c r="B25" s="108">
        <v>17689.0</v>
      </c>
      <c r="C25" s="109" t="s">
        <v>119</v>
      </c>
      <c r="D25" s="110" t="s">
        <v>120</v>
      </c>
      <c r="E25" s="108">
        <v>9089.2</v>
      </c>
      <c r="F25" s="110" t="s">
        <v>121</v>
      </c>
      <c r="G25" s="111">
        <v>17968.61</v>
      </c>
      <c r="H25" s="112" t="s">
        <v>122</v>
      </c>
    </row>
    <row r="26" ht="15.75" customHeight="1"/>
    <row r="27" ht="15.75" customHeight="1">
      <c r="A27" s="92" t="s">
        <v>123</v>
      </c>
      <c r="B27" s="4"/>
      <c r="C27" s="4"/>
      <c r="D27" s="4"/>
      <c r="E27" s="4"/>
      <c r="F27" s="5"/>
    </row>
    <row r="28" ht="15.75" customHeight="1">
      <c r="A28" s="93" t="s">
        <v>94</v>
      </c>
      <c r="B28" s="8"/>
      <c r="C28" s="8"/>
      <c r="D28" s="8"/>
      <c r="E28" s="8"/>
      <c r="F28" s="10"/>
    </row>
    <row r="29" ht="15.75" customHeight="1">
      <c r="A29" s="94"/>
      <c r="B29" s="27" t="s">
        <v>85</v>
      </c>
      <c r="C29" s="27" t="s">
        <v>97</v>
      </c>
      <c r="D29" s="116" t="s">
        <v>101</v>
      </c>
      <c r="E29" s="27" t="s">
        <v>103</v>
      </c>
      <c r="F29" s="118" t="s">
        <v>105</v>
      </c>
    </row>
    <row r="30" ht="15.75" customHeight="1">
      <c r="A30" s="101" t="s">
        <v>32</v>
      </c>
      <c r="B30" s="102">
        <v>10477.7</v>
      </c>
      <c r="C30" s="103" t="s">
        <v>128</v>
      </c>
      <c r="D30" s="105" t="s">
        <v>129</v>
      </c>
      <c r="E30" s="106">
        <v>17968.61</v>
      </c>
      <c r="F30" s="107" t="s">
        <v>131</v>
      </c>
    </row>
    <row r="31" ht="15.75" customHeight="1">
      <c r="A31" s="101" t="s">
        <v>37</v>
      </c>
      <c r="B31" s="102">
        <v>10960.85</v>
      </c>
      <c r="C31" s="103" t="s">
        <v>132</v>
      </c>
      <c r="D31" s="105" t="s">
        <v>133</v>
      </c>
      <c r="E31" s="106">
        <v>17968.61</v>
      </c>
      <c r="F31" s="107" t="s">
        <v>134</v>
      </c>
    </row>
    <row r="32" ht="15.75" customHeight="1">
      <c r="A32" s="94" t="s">
        <v>39</v>
      </c>
      <c r="B32" s="108">
        <v>11499.91</v>
      </c>
      <c r="C32" s="109" t="s">
        <v>135</v>
      </c>
      <c r="D32" s="110" t="s">
        <v>136</v>
      </c>
      <c r="E32" s="111">
        <v>17968.61</v>
      </c>
      <c r="F32" s="112" t="s">
        <v>137</v>
      </c>
    </row>
    <row r="33" ht="15.75" customHeight="1"/>
    <row r="34" ht="15.75" customHeight="1">
      <c r="A34" s="92" t="s">
        <v>139</v>
      </c>
      <c r="B34" s="4"/>
      <c r="C34" s="4"/>
      <c r="D34" s="4"/>
      <c r="E34" s="4"/>
      <c r="F34" s="5"/>
    </row>
    <row r="35" ht="15.75" customHeight="1">
      <c r="A35" s="93" t="s">
        <v>94</v>
      </c>
      <c r="B35" s="8"/>
      <c r="C35" s="8"/>
      <c r="D35" s="8"/>
      <c r="E35" s="8"/>
      <c r="F35" s="10"/>
    </row>
    <row r="36" ht="15.75" customHeight="1">
      <c r="A36" s="94"/>
      <c r="B36" s="27" t="s">
        <v>85</v>
      </c>
      <c r="C36" s="27" t="s">
        <v>97</v>
      </c>
      <c r="D36" s="116" t="s">
        <v>101</v>
      </c>
      <c r="E36" s="97" t="s">
        <v>141</v>
      </c>
      <c r="F36" s="118" t="s">
        <v>98</v>
      </c>
    </row>
    <row r="37" ht="15.75" customHeight="1">
      <c r="A37" s="101" t="s">
        <v>32</v>
      </c>
      <c r="B37" s="102">
        <v>10477.7</v>
      </c>
      <c r="C37" s="103" t="s">
        <v>128</v>
      </c>
      <c r="D37" s="105" t="s">
        <v>129</v>
      </c>
      <c r="E37" s="106">
        <v>-9089.2</v>
      </c>
      <c r="F37" s="107" t="s">
        <v>142</v>
      </c>
    </row>
    <row r="38" ht="15.75" customHeight="1">
      <c r="A38" s="101" t="s">
        <v>37</v>
      </c>
      <c r="B38" s="102">
        <v>10960.85</v>
      </c>
      <c r="C38" s="103" t="s">
        <v>132</v>
      </c>
      <c r="D38" s="105" t="s">
        <v>133</v>
      </c>
      <c r="E38" s="106">
        <v>-9089.2</v>
      </c>
      <c r="F38" s="107" t="s">
        <v>144</v>
      </c>
    </row>
    <row r="39" ht="15.75" customHeight="1">
      <c r="A39" s="94" t="s">
        <v>39</v>
      </c>
      <c r="B39" s="108">
        <v>11499.91</v>
      </c>
      <c r="C39" s="109" t="s">
        <v>135</v>
      </c>
      <c r="D39" s="110" t="s">
        <v>136</v>
      </c>
      <c r="E39" s="111">
        <v>-9089.2</v>
      </c>
      <c r="F39" s="112" t="s">
        <v>145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T1"/>
    <mergeCell ref="A2:T2"/>
    <mergeCell ref="G4:I4"/>
    <mergeCell ref="M4:O4"/>
    <mergeCell ref="R4:T4"/>
    <mergeCell ref="B12:F12"/>
    <mergeCell ref="B13:F13"/>
    <mergeCell ref="A28:F28"/>
    <mergeCell ref="A34:F34"/>
    <mergeCell ref="A35:F35"/>
    <mergeCell ref="B14:F14"/>
    <mergeCell ref="B15:F15"/>
    <mergeCell ref="A17:H17"/>
    <mergeCell ref="A18:H18"/>
    <mergeCell ref="A20:H20"/>
    <mergeCell ref="A21:H21"/>
    <mergeCell ref="A27:F2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75"/>
    <col customWidth="1" min="2" max="2" width="30.13"/>
    <col customWidth="1" min="3" max="3" width="5.25"/>
    <col customWidth="1" min="4" max="4" width="29.63"/>
    <col customWidth="1" min="5" max="6" width="12.63"/>
    <col customWidth="1" min="8" max="8" width="22.13"/>
    <col customWidth="1" min="9" max="9" width="22.5"/>
    <col customWidth="1" min="10" max="10" width="19.13"/>
    <col customWidth="1" min="11" max="11" width="4.5"/>
    <col customWidth="1" min="12" max="12" width="31.0"/>
  </cols>
  <sheetData>
    <row r="1" ht="15.75" customHeight="1">
      <c r="A1" s="24" t="s">
        <v>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2" ht="15.75" customHeight="1">
      <c r="A2" s="34" t="s">
        <v>34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10"/>
    </row>
    <row r="3" ht="15.75" customHeight="1"/>
    <row r="4" ht="15.75" customHeight="1">
      <c r="A4" s="41" t="s">
        <v>6</v>
      </c>
      <c r="B4" s="14"/>
      <c r="D4" s="49" t="s">
        <v>8</v>
      </c>
      <c r="E4" s="4"/>
      <c r="F4" s="4"/>
      <c r="G4" s="4"/>
      <c r="H4" s="4"/>
      <c r="I4" s="4"/>
      <c r="J4" s="5"/>
      <c r="L4" s="49" t="s">
        <v>9</v>
      </c>
      <c r="M4" s="4"/>
      <c r="N4" s="5"/>
    </row>
    <row r="5" ht="15.75" customHeight="1">
      <c r="A5" s="19" t="s">
        <v>10</v>
      </c>
      <c r="B5" s="21" t="s">
        <v>55</v>
      </c>
      <c r="D5" s="62" t="s">
        <v>13</v>
      </c>
      <c r="E5" s="8"/>
      <c r="F5" s="8"/>
      <c r="G5" s="8"/>
      <c r="H5" s="8"/>
      <c r="I5" s="8"/>
      <c r="J5" s="10"/>
      <c r="L5" s="62" t="s">
        <v>15</v>
      </c>
      <c r="M5" s="8"/>
      <c r="N5" s="10"/>
    </row>
    <row r="6" ht="15.75" customHeight="1">
      <c r="A6" s="19" t="s">
        <v>17</v>
      </c>
      <c r="B6" s="21" t="s">
        <v>48</v>
      </c>
      <c r="D6" s="19"/>
      <c r="E6" s="27" t="s">
        <v>19</v>
      </c>
      <c r="F6" s="27" t="s">
        <v>21</v>
      </c>
      <c r="G6" s="27" t="s">
        <v>23</v>
      </c>
      <c r="H6" s="27" t="s">
        <v>24</v>
      </c>
      <c r="I6" s="27" t="s">
        <v>25</v>
      </c>
      <c r="J6" s="29" t="s">
        <v>27</v>
      </c>
      <c r="L6" s="19"/>
      <c r="M6" s="27" t="s">
        <v>23</v>
      </c>
      <c r="N6" s="29" t="s">
        <v>33</v>
      </c>
    </row>
    <row r="7" ht="15.75" customHeight="1">
      <c r="A7" s="19" t="s">
        <v>35</v>
      </c>
      <c r="B7" s="21" t="s">
        <v>36</v>
      </c>
      <c r="D7" s="32" t="s">
        <v>38</v>
      </c>
      <c r="E7" s="33">
        <v>80169.5</v>
      </c>
      <c r="F7" s="33">
        <v>83120.1</v>
      </c>
      <c r="G7" s="33">
        <v>86483.0</v>
      </c>
      <c r="H7" s="33">
        <v>41457.2</v>
      </c>
      <c r="I7" s="33">
        <v>44295.6</v>
      </c>
      <c r="J7" s="42">
        <f t="shared" ref="J7:J8" si="1">G7+I7-H7</f>
        <v>89321.4</v>
      </c>
      <c r="L7" s="19" t="s">
        <v>46</v>
      </c>
      <c r="M7" s="45">
        <v>15398.3</v>
      </c>
      <c r="N7" s="46">
        <v>14379.9</v>
      </c>
    </row>
    <row r="8" ht="15.75" customHeight="1">
      <c r="A8" s="19" t="s">
        <v>49</v>
      </c>
      <c r="B8" s="48">
        <v>46387.0</v>
      </c>
      <c r="D8" s="51" t="s">
        <v>50</v>
      </c>
      <c r="E8" s="52">
        <v>55441.7</v>
      </c>
      <c r="F8" s="52">
        <v>54430.4</v>
      </c>
      <c r="G8" s="52">
        <v>57664.6</v>
      </c>
      <c r="H8" s="52">
        <v>27661.2</v>
      </c>
      <c r="I8" s="52">
        <v>28706.8</v>
      </c>
      <c r="J8" s="55">
        <f t="shared" si="1"/>
        <v>58710.2</v>
      </c>
      <c r="L8" s="19" t="s">
        <v>51</v>
      </c>
      <c r="M8" s="56">
        <v>8401.0</v>
      </c>
      <c r="N8" s="58">
        <v>6875.1</v>
      </c>
    </row>
    <row r="9" ht="15.75" customHeight="1">
      <c r="A9" s="51" t="s">
        <v>52</v>
      </c>
      <c r="B9" s="61">
        <v>0.25</v>
      </c>
      <c r="D9" s="32" t="s">
        <v>54</v>
      </c>
      <c r="E9" s="33">
        <f t="shared" ref="E9:J9" si="2">E7-E8</f>
        <v>24727.8</v>
      </c>
      <c r="F9" s="33">
        <f t="shared" si="2"/>
        <v>28689.7</v>
      </c>
      <c r="G9" s="33">
        <f t="shared" si="2"/>
        <v>28818.4</v>
      </c>
      <c r="H9" s="33">
        <f t="shared" si="2"/>
        <v>13796</v>
      </c>
      <c r="I9" s="33">
        <f t="shared" si="2"/>
        <v>15588.8</v>
      </c>
      <c r="J9" s="42">
        <f t="shared" si="2"/>
        <v>30611.2</v>
      </c>
      <c r="L9" s="19" t="s">
        <v>58</v>
      </c>
      <c r="M9" s="56">
        <v>8971.7</v>
      </c>
      <c r="N9" s="58">
        <v>9309.3</v>
      </c>
    </row>
    <row r="10" ht="15.75" customHeight="1">
      <c r="D10" s="19" t="s">
        <v>59</v>
      </c>
      <c r="E10" s="56">
        <v>28084.5</v>
      </c>
      <c r="F10" s="56">
        <v>22806.2</v>
      </c>
      <c r="G10" s="56">
        <v>16548.9</v>
      </c>
      <c r="H10" s="56">
        <v>7644.9</v>
      </c>
      <c r="I10" s="56">
        <v>8625.3</v>
      </c>
      <c r="J10" s="58">
        <f t="shared" ref="J10:J11" si="3">G10+I10-H10</f>
        <v>17529.3</v>
      </c>
      <c r="L10" s="51" t="s">
        <v>62</v>
      </c>
      <c r="M10" s="52">
        <v>3566.0</v>
      </c>
      <c r="N10" s="55">
        <v>3846.4</v>
      </c>
    </row>
    <row r="11" ht="15.75" customHeight="1">
      <c r="A11" s="49" t="s">
        <v>63</v>
      </c>
      <c r="B11" s="5"/>
      <c r="D11" s="51" t="s">
        <v>64</v>
      </c>
      <c r="E11" s="52">
        <v>-1742.0</v>
      </c>
      <c r="F11" s="52">
        <v>2278.6</v>
      </c>
      <c r="G11" s="52">
        <v>639.8</v>
      </c>
      <c r="H11" s="52">
        <v>155.9</v>
      </c>
      <c r="I11" s="52">
        <v>-395.2</v>
      </c>
      <c r="J11" s="55">
        <f t="shared" si="3"/>
        <v>88.7</v>
      </c>
      <c r="L11" s="32" t="s">
        <v>66</v>
      </c>
      <c r="M11" s="33">
        <f t="shared" ref="M11:N11" si="4">SUM(M7:M10)</f>
        <v>36337</v>
      </c>
      <c r="N11" s="42">
        <f t="shared" si="4"/>
        <v>34410.7</v>
      </c>
    </row>
    <row r="12" ht="15.75" customHeight="1">
      <c r="A12" s="62" t="s">
        <v>68</v>
      </c>
      <c r="B12" s="10"/>
      <c r="D12" s="32" t="s">
        <v>65</v>
      </c>
      <c r="E12" s="95">
        <f t="shared" ref="E12:J12" si="5">E9-E10-E11</f>
        <v>-1614.7</v>
      </c>
      <c r="F12" s="33">
        <f t="shared" si="5"/>
        <v>3604.9</v>
      </c>
      <c r="G12" s="33">
        <f t="shared" si="5"/>
        <v>11629.7</v>
      </c>
      <c r="H12" s="33">
        <f t="shared" si="5"/>
        <v>5995.2</v>
      </c>
      <c r="I12" s="33">
        <f t="shared" si="5"/>
        <v>7358.7</v>
      </c>
      <c r="J12" s="42">
        <f t="shared" si="5"/>
        <v>12993.2</v>
      </c>
      <c r="L12" s="19"/>
      <c r="M12" s="74"/>
      <c r="N12" s="75"/>
    </row>
    <row r="13" ht="15.75" customHeight="1">
      <c r="A13" s="19" t="s">
        <v>69</v>
      </c>
      <c r="B13" s="46">
        <v>7.12</v>
      </c>
      <c r="D13" s="51" t="s">
        <v>70</v>
      </c>
      <c r="E13" s="52">
        <v>232.4</v>
      </c>
      <c r="F13" s="52">
        <v>93.5</v>
      </c>
      <c r="G13" s="52">
        <v>-37.2</v>
      </c>
      <c r="H13" s="52">
        <v>26.4</v>
      </c>
      <c r="I13" s="52">
        <v>-91.3</v>
      </c>
      <c r="J13" s="55">
        <f>G13+I13-H13</f>
        <v>-154.9</v>
      </c>
      <c r="L13" s="19" t="s">
        <v>71</v>
      </c>
      <c r="M13" s="56">
        <v>27309.4</v>
      </c>
      <c r="N13" s="58">
        <v>27611.9</v>
      </c>
    </row>
    <row r="14" ht="15.75" customHeight="1">
      <c r="A14" s="76" t="s">
        <v>29</v>
      </c>
      <c r="B14" s="77">
        <f>B13/B15</f>
        <v>0.9417989418</v>
      </c>
      <c r="D14" s="32" t="s">
        <v>72</v>
      </c>
      <c r="E14" s="113">
        <f t="shared" ref="E14:J14" si="6">E12-E13</f>
        <v>-1847.1</v>
      </c>
      <c r="F14" s="33">
        <f t="shared" si="6"/>
        <v>3511.4</v>
      </c>
      <c r="G14" s="33">
        <f t="shared" si="6"/>
        <v>11666.9</v>
      </c>
      <c r="H14" s="33">
        <f t="shared" si="6"/>
        <v>5968.8</v>
      </c>
      <c r="I14" s="33">
        <f t="shared" si="6"/>
        <v>7450</v>
      </c>
      <c r="J14" s="42">
        <f t="shared" si="6"/>
        <v>13148.1</v>
      </c>
      <c r="L14" s="19" t="s">
        <v>74</v>
      </c>
      <c r="M14" s="56">
        <v>6654.8</v>
      </c>
      <c r="N14" s="58">
        <v>6759.0</v>
      </c>
    </row>
    <row r="15" ht="15.75" customHeight="1">
      <c r="A15" s="19" t="s">
        <v>75</v>
      </c>
      <c r="B15" s="46">
        <v>7.56</v>
      </c>
      <c r="D15" s="19" t="s">
        <v>76</v>
      </c>
      <c r="E15" s="56">
        <v>-1220.6</v>
      </c>
      <c r="F15" s="56">
        <v>3061.9</v>
      </c>
      <c r="G15" s="56">
        <v>3067.8</v>
      </c>
      <c r="H15" s="56">
        <v>1553.9</v>
      </c>
      <c r="I15" s="56">
        <v>1657.7</v>
      </c>
      <c r="J15" s="58">
        <f t="shared" ref="J15:J16" si="7">G15+I15-H15</f>
        <v>3171.6</v>
      </c>
      <c r="L15" s="51" t="s">
        <v>77</v>
      </c>
      <c r="M15" s="52">
        <v>12663.0</v>
      </c>
      <c r="N15" s="55">
        <v>13190.4</v>
      </c>
    </row>
    <row r="16" ht="15.75" customHeight="1">
      <c r="A16" s="19" t="s">
        <v>78</v>
      </c>
      <c r="B16" s="46">
        <v>5.61</v>
      </c>
      <c r="D16" s="51" t="s">
        <v>79</v>
      </c>
      <c r="E16" s="52">
        <v>9.8</v>
      </c>
      <c r="F16" s="52">
        <v>3.7</v>
      </c>
      <c r="G16" s="52">
        <v>-19.0</v>
      </c>
      <c r="H16" s="52">
        <v>3.7</v>
      </c>
      <c r="I16" s="52">
        <v>-35.0</v>
      </c>
      <c r="J16" s="55">
        <f t="shared" si="7"/>
        <v>-57.7</v>
      </c>
      <c r="L16" s="32" t="s">
        <v>81</v>
      </c>
      <c r="M16" s="33">
        <f t="shared" ref="M16:N16" si="8">M11+SUM(M13:M15)</f>
        <v>82964.2</v>
      </c>
      <c r="N16" s="42">
        <f t="shared" si="8"/>
        <v>81972</v>
      </c>
    </row>
    <row r="17" ht="15.75" customHeight="1">
      <c r="A17" s="19" t="s">
        <v>83</v>
      </c>
      <c r="B17" s="46">
        <v>0.24</v>
      </c>
      <c r="D17" s="82" t="s">
        <v>85</v>
      </c>
      <c r="E17" s="120">
        <f t="shared" ref="E17:J17" si="9">E14-E15-E16</f>
        <v>-636.3</v>
      </c>
      <c r="F17" s="85">
        <f t="shared" si="9"/>
        <v>445.8</v>
      </c>
      <c r="G17" s="85">
        <f t="shared" si="9"/>
        <v>8618.1</v>
      </c>
      <c r="H17" s="85">
        <f t="shared" si="9"/>
        <v>4411.2</v>
      </c>
      <c r="I17" s="85">
        <f t="shared" si="9"/>
        <v>5827.3</v>
      </c>
      <c r="J17" s="87">
        <f t="shared" si="9"/>
        <v>10034.2</v>
      </c>
      <c r="L17" s="19"/>
      <c r="M17" s="74"/>
      <c r="N17" s="75"/>
    </row>
    <row r="18" ht="15.75" customHeight="1">
      <c r="A18" s="19"/>
      <c r="B18" s="75"/>
      <c r="D18" s="76" t="s">
        <v>86</v>
      </c>
      <c r="E18" s="90">
        <v>0.661</v>
      </c>
      <c r="F18" s="90">
        <v>0.872</v>
      </c>
      <c r="G18" s="90">
        <v>0.263</v>
      </c>
      <c r="H18" s="90">
        <v>0.26</v>
      </c>
      <c r="I18" s="90">
        <v>0.223</v>
      </c>
      <c r="J18" s="77">
        <v>0.241</v>
      </c>
      <c r="L18" s="19" t="s">
        <v>87</v>
      </c>
      <c r="M18" s="45">
        <v>12441.4</v>
      </c>
      <c r="N18" s="46">
        <v>12276.0</v>
      </c>
    </row>
    <row r="19" ht="15.75" customHeight="1">
      <c r="A19" s="51" t="s">
        <v>89</v>
      </c>
      <c r="B19" s="55">
        <v>17968.61</v>
      </c>
      <c r="D19" s="19"/>
      <c r="E19" s="74"/>
      <c r="F19" s="74"/>
      <c r="G19" s="74"/>
      <c r="H19" s="74"/>
      <c r="I19" s="74"/>
      <c r="J19" s="75"/>
      <c r="L19" s="51" t="s">
        <v>90</v>
      </c>
      <c r="M19" s="52">
        <v>3612.6</v>
      </c>
      <c r="N19" s="55">
        <v>965.3</v>
      </c>
    </row>
    <row r="20" ht="15.75" customHeight="1">
      <c r="A20" s="32" t="s">
        <v>30</v>
      </c>
      <c r="B20" s="42">
        <f>B13*B19</f>
        <v>127936.5032</v>
      </c>
      <c r="D20" s="51" t="s">
        <v>92</v>
      </c>
      <c r="E20" s="52">
        <v>17968.61</v>
      </c>
      <c r="F20" s="52">
        <v>17968.61</v>
      </c>
      <c r="G20" s="52">
        <v>17968.61</v>
      </c>
      <c r="H20" s="52">
        <v>17968.61</v>
      </c>
      <c r="I20" s="52">
        <v>17968.61</v>
      </c>
      <c r="J20" s="55">
        <v>17968.61</v>
      </c>
      <c r="L20" s="32" t="s">
        <v>93</v>
      </c>
      <c r="M20" s="33">
        <f t="shared" ref="M20:N20" si="10">M18+M19</f>
        <v>16054</v>
      </c>
      <c r="N20" s="42">
        <f t="shared" si="10"/>
        <v>13241.3</v>
      </c>
    </row>
    <row r="21" ht="15.75" customHeight="1">
      <c r="A21" s="19"/>
      <c r="B21" s="75"/>
      <c r="D21" s="82" t="s">
        <v>95</v>
      </c>
      <c r="E21" s="120">
        <f t="shared" ref="E21:J21" si="11">E17/E20</f>
        <v>-0.03541175416</v>
      </c>
      <c r="F21" s="85">
        <f t="shared" si="11"/>
        <v>0.02480993243</v>
      </c>
      <c r="G21" s="85">
        <f t="shared" si="11"/>
        <v>0.4796197369</v>
      </c>
      <c r="H21" s="85">
        <f t="shared" si="11"/>
        <v>0.2454947823</v>
      </c>
      <c r="I21" s="85">
        <f t="shared" si="11"/>
        <v>0.3243044398</v>
      </c>
      <c r="J21" s="87">
        <f t="shared" si="11"/>
        <v>0.5584293944</v>
      </c>
      <c r="L21" s="19"/>
      <c r="M21" s="74"/>
      <c r="N21" s="75"/>
    </row>
    <row r="22" ht="15.75" customHeight="1">
      <c r="A22" s="19" t="s">
        <v>99</v>
      </c>
      <c r="B22" s="58">
        <f>N22</f>
        <v>5170.1</v>
      </c>
      <c r="L22" s="19" t="s">
        <v>102</v>
      </c>
      <c r="M22" s="56">
        <v>5235.7</v>
      </c>
      <c r="N22" s="58">
        <v>5170.1</v>
      </c>
    </row>
    <row r="23" ht="15.75" customHeight="1">
      <c r="A23" s="19" t="s">
        <v>104</v>
      </c>
      <c r="B23" s="99" t="s">
        <v>80</v>
      </c>
      <c r="D23" s="49" t="s">
        <v>106</v>
      </c>
      <c r="E23" s="4"/>
      <c r="F23" s="4"/>
      <c r="G23" s="4"/>
      <c r="H23" s="4"/>
      <c r="I23" s="4"/>
      <c r="J23" s="5"/>
      <c r="L23" s="51" t="s">
        <v>108</v>
      </c>
      <c r="M23" s="52">
        <v>1643.3</v>
      </c>
      <c r="N23" s="55">
        <v>1831.3</v>
      </c>
    </row>
    <row r="24" ht="15.75" customHeight="1">
      <c r="A24" s="19" t="s">
        <v>110</v>
      </c>
      <c r="B24" s="58">
        <f>N26</f>
        <v>120.6</v>
      </c>
      <c r="D24" s="62" t="s">
        <v>13</v>
      </c>
      <c r="E24" s="8"/>
      <c r="F24" s="8"/>
      <c r="G24" s="8"/>
      <c r="H24" s="8"/>
      <c r="I24" s="8"/>
      <c r="J24" s="10"/>
      <c r="L24" s="32" t="s">
        <v>113</v>
      </c>
      <c r="M24" s="33">
        <f t="shared" ref="M24:N24" si="12">M20+M22+M23</f>
        <v>22933</v>
      </c>
      <c r="N24" s="42">
        <f t="shared" si="12"/>
        <v>20242.7</v>
      </c>
    </row>
    <row r="25" ht="15.75" customHeight="1">
      <c r="A25" s="51" t="s">
        <v>118</v>
      </c>
      <c r="B25" s="55">
        <f>N7</f>
        <v>14379.9</v>
      </c>
      <c r="D25" s="19"/>
      <c r="E25" s="27" t="s">
        <v>19</v>
      </c>
      <c r="F25" s="27" t="s">
        <v>21</v>
      </c>
      <c r="G25" s="27" t="s">
        <v>23</v>
      </c>
      <c r="H25" s="27" t="s">
        <v>24</v>
      </c>
      <c r="I25" s="27" t="s">
        <v>25</v>
      </c>
      <c r="J25" s="29" t="s">
        <v>27</v>
      </c>
      <c r="L25" s="19"/>
      <c r="M25" s="74"/>
      <c r="N25" s="75"/>
    </row>
    <row r="26" ht="15.75" customHeight="1">
      <c r="A26" s="82" t="s">
        <v>31</v>
      </c>
      <c r="B26" s="87">
        <f>B20+B22+B24-B25</f>
        <v>118847.3032</v>
      </c>
      <c r="D26" s="19" t="s">
        <v>124</v>
      </c>
      <c r="E26" s="45">
        <f t="shared" ref="E26:J26" si="13">E9</f>
        <v>24727.8</v>
      </c>
      <c r="F26" s="45">
        <f t="shared" si="13"/>
        <v>28689.7</v>
      </c>
      <c r="G26" s="45">
        <f t="shared" si="13"/>
        <v>28818.4</v>
      </c>
      <c r="H26" s="45">
        <f t="shared" si="13"/>
        <v>13796</v>
      </c>
      <c r="I26" s="45">
        <f t="shared" si="13"/>
        <v>15588.8</v>
      </c>
      <c r="J26" s="46">
        <f t="shared" si="13"/>
        <v>30611.2</v>
      </c>
      <c r="L26" s="19" t="s">
        <v>79</v>
      </c>
      <c r="M26" s="56">
        <v>155.6</v>
      </c>
      <c r="N26" s="58">
        <v>120.6</v>
      </c>
    </row>
    <row r="27" ht="15.75" customHeight="1">
      <c r="D27" s="51" t="s">
        <v>125</v>
      </c>
      <c r="E27" s="115" t="s">
        <v>80</v>
      </c>
      <c r="F27" s="115" t="s">
        <v>80</v>
      </c>
      <c r="G27" s="115" t="s">
        <v>80</v>
      </c>
      <c r="H27" s="115" t="s">
        <v>80</v>
      </c>
      <c r="I27" s="115" t="s">
        <v>80</v>
      </c>
      <c r="J27" s="117" t="s">
        <v>80</v>
      </c>
      <c r="L27" s="19" t="s">
        <v>126</v>
      </c>
      <c r="M27" s="114" t="s">
        <v>80</v>
      </c>
      <c r="N27" s="99" t="s">
        <v>80</v>
      </c>
    </row>
    <row r="28" ht="15.75" customHeight="1">
      <c r="A28" s="41" t="s">
        <v>127</v>
      </c>
      <c r="B28" s="14"/>
      <c r="D28" s="32" t="s">
        <v>130</v>
      </c>
      <c r="E28" s="33">
        <f t="shared" ref="E28:J28" si="14">E26</f>
        <v>24727.8</v>
      </c>
      <c r="F28" s="33">
        <f t="shared" si="14"/>
        <v>28689.7</v>
      </c>
      <c r="G28" s="33">
        <f t="shared" si="14"/>
        <v>28818.4</v>
      </c>
      <c r="H28" s="33">
        <f t="shared" si="14"/>
        <v>13796</v>
      </c>
      <c r="I28" s="33">
        <f t="shared" si="14"/>
        <v>15588.8</v>
      </c>
      <c r="J28" s="42">
        <f t="shared" si="14"/>
        <v>30611.2</v>
      </c>
      <c r="L28" s="51" t="s">
        <v>138</v>
      </c>
      <c r="M28" s="52">
        <v>59875.6</v>
      </c>
      <c r="N28" s="55">
        <v>61608.7</v>
      </c>
    </row>
    <row r="29" ht="15.75" customHeight="1">
      <c r="A29" s="19" t="s">
        <v>140</v>
      </c>
      <c r="B29" s="119">
        <f>(J34*(1-B9))/((M28+N28+M22+N22+M26+N26-M7-N7)/2)</f>
        <v>0.1940762647</v>
      </c>
      <c r="D29" s="76" t="s">
        <v>143</v>
      </c>
      <c r="E29" s="90">
        <f t="shared" ref="E29:J29" si="15">E28/E7</f>
        <v>0.3084439843</v>
      </c>
      <c r="F29" s="90">
        <f t="shared" si="15"/>
        <v>0.3451595944</v>
      </c>
      <c r="G29" s="90">
        <f t="shared" si="15"/>
        <v>0.3332261832</v>
      </c>
      <c r="H29" s="90">
        <f t="shared" si="15"/>
        <v>0.3327769362</v>
      </c>
      <c r="I29" s="90">
        <f t="shared" si="15"/>
        <v>0.3519266022</v>
      </c>
      <c r="J29" s="77">
        <f t="shared" si="15"/>
        <v>0.3427084663</v>
      </c>
      <c r="L29" s="32" t="s">
        <v>146</v>
      </c>
      <c r="M29" s="33">
        <f t="shared" ref="M29:N29" si="16">M24+M26+M28</f>
        <v>82964.2</v>
      </c>
      <c r="N29" s="42">
        <f t="shared" si="16"/>
        <v>81972</v>
      </c>
    </row>
    <row r="30" ht="15.75" customHeight="1">
      <c r="A30" s="19" t="s">
        <v>147</v>
      </c>
      <c r="B30" s="119">
        <f>J46/((M28+N28)/2)</f>
        <v>0.1724947174</v>
      </c>
      <c r="D30" s="19"/>
      <c r="E30" s="74"/>
      <c r="F30" s="74"/>
      <c r="G30" s="74"/>
      <c r="H30" s="74"/>
      <c r="I30" s="74"/>
      <c r="J30" s="75"/>
      <c r="L30" s="19"/>
      <c r="M30" s="74"/>
      <c r="N30" s="75"/>
    </row>
    <row r="31" ht="15.75" customHeight="1">
      <c r="A31" s="19" t="s">
        <v>148</v>
      </c>
      <c r="B31" s="119">
        <f>J46/((M16+N16)/2)</f>
        <v>0.1270515508</v>
      </c>
      <c r="D31" s="19" t="s">
        <v>149</v>
      </c>
      <c r="E31" s="140">
        <f t="shared" ref="E31:J31" si="17">E12</f>
        <v>-1614.7</v>
      </c>
      <c r="F31" s="45">
        <f t="shared" si="17"/>
        <v>3604.9</v>
      </c>
      <c r="G31" s="45">
        <f t="shared" si="17"/>
        <v>11629.7</v>
      </c>
      <c r="H31" s="45">
        <f t="shared" si="17"/>
        <v>5995.2</v>
      </c>
      <c r="I31" s="45">
        <f t="shared" si="17"/>
        <v>7358.7</v>
      </c>
      <c r="J31" s="46">
        <f t="shared" si="17"/>
        <v>12993.2</v>
      </c>
      <c r="L31" s="93" t="s">
        <v>150</v>
      </c>
      <c r="M31" s="121">
        <f t="shared" ref="M31:N31" si="18">M16-M29</f>
        <v>0</v>
      </c>
      <c r="N31" s="122">
        <f t="shared" si="18"/>
        <v>0</v>
      </c>
    </row>
    <row r="32" ht="15.75" customHeight="1">
      <c r="A32" s="51" t="s">
        <v>44</v>
      </c>
      <c r="B32" s="123">
        <f>(B17*4)/B13</f>
        <v>0.1348314607</v>
      </c>
      <c r="D32" s="19" t="s">
        <v>125</v>
      </c>
      <c r="E32" s="124" t="s">
        <v>80</v>
      </c>
      <c r="F32" s="124" t="s">
        <v>80</v>
      </c>
      <c r="G32" s="124" t="s">
        <v>80</v>
      </c>
      <c r="H32" s="124" t="s">
        <v>80</v>
      </c>
      <c r="I32" s="124" t="s">
        <v>80</v>
      </c>
      <c r="J32" s="21" t="s">
        <v>80</v>
      </c>
    </row>
    <row r="33" ht="15.75" customHeight="1">
      <c r="C33" s="125" t="s">
        <v>151</v>
      </c>
      <c r="D33" s="51" t="s">
        <v>152</v>
      </c>
      <c r="E33" s="52">
        <v>13786.7</v>
      </c>
      <c r="F33" s="52">
        <v>7122.9</v>
      </c>
      <c r="G33" s="52">
        <v>377.5</v>
      </c>
      <c r="H33" s="52">
        <v>201.3</v>
      </c>
      <c r="I33" s="52">
        <v>78.0</v>
      </c>
      <c r="J33" s="55">
        <f>G33+I33-H33</f>
        <v>254.2</v>
      </c>
      <c r="L33" s="41" t="s">
        <v>153</v>
      </c>
      <c r="M33" s="126"/>
      <c r="N33" s="126"/>
      <c r="O33" s="126"/>
      <c r="P33" s="14"/>
    </row>
    <row r="34" ht="15.75" customHeight="1">
      <c r="A34" s="41" t="s">
        <v>154</v>
      </c>
      <c r="B34" s="14"/>
      <c r="C34" s="127"/>
      <c r="D34" s="32" t="s">
        <v>155</v>
      </c>
      <c r="E34" s="33">
        <f t="shared" ref="E34:J34" si="19">E31+E33</f>
        <v>12172</v>
      </c>
      <c r="F34" s="33">
        <f t="shared" si="19"/>
        <v>10727.8</v>
      </c>
      <c r="G34" s="33">
        <f t="shared" si="19"/>
        <v>12007.2</v>
      </c>
      <c r="H34" s="33">
        <f t="shared" si="19"/>
        <v>6196.5</v>
      </c>
      <c r="I34" s="33">
        <f t="shared" si="19"/>
        <v>7436.7</v>
      </c>
      <c r="J34" s="42">
        <f t="shared" si="19"/>
        <v>13247.4</v>
      </c>
      <c r="L34" s="129"/>
      <c r="M34" s="130" t="s">
        <v>38</v>
      </c>
      <c r="N34" s="130" t="s">
        <v>96</v>
      </c>
      <c r="O34" s="130" t="s">
        <v>156</v>
      </c>
      <c r="P34" s="131" t="s">
        <v>157</v>
      </c>
    </row>
    <row r="35" ht="15.75" customHeight="1">
      <c r="A35" s="32" t="s">
        <v>158</v>
      </c>
      <c r="B35" s="75"/>
      <c r="C35" s="127"/>
      <c r="D35" s="76" t="s">
        <v>143</v>
      </c>
      <c r="E35" s="90">
        <f t="shared" ref="E35:J35" si="20">E34/E7</f>
        <v>0.1518283138</v>
      </c>
      <c r="F35" s="90">
        <f t="shared" si="20"/>
        <v>0.1290638486</v>
      </c>
      <c r="G35" s="90">
        <f t="shared" si="20"/>
        <v>0.1388388469</v>
      </c>
      <c r="H35" s="90">
        <f t="shared" si="20"/>
        <v>0.1494674025</v>
      </c>
      <c r="I35" s="90">
        <f t="shared" si="20"/>
        <v>0.1678880069</v>
      </c>
      <c r="J35" s="77">
        <f t="shared" si="20"/>
        <v>0.1483116028</v>
      </c>
      <c r="L35" s="32" t="s">
        <v>159</v>
      </c>
      <c r="M35" s="74"/>
      <c r="N35" s="74"/>
      <c r="O35" s="74"/>
      <c r="P35" s="75"/>
    </row>
    <row r="36" ht="15.75" customHeight="1">
      <c r="A36" s="19" t="s">
        <v>160</v>
      </c>
      <c r="B36" s="119">
        <f>N22/(N28+N22+N26)</f>
        <v>0.07728170955</v>
      </c>
      <c r="C36" s="127"/>
      <c r="D36" s="19"/>
      <c r="E36" s="74"/>
      <c r="F36" s="74"/>
      <c r="G36" s="74"/>
      <c r="H36" s="74"/>
      <c r="I36" s="74"/>
      <c r="J36" s="75"/>
      <c r="L36" s="19" t="s">
        <v>161</v>
      </c>
      <c r="M36" s="132">
        <f>((G7/F7)^(1/1))-1</f>
        <v>0.04045832476</v>
      </c>
      <c r="N36" s="132">
        <f>((G38/F38)^(1/1))-1</f>
        <v>0.1057119643</v>
      </c>
      <c r="O36" s="135">
        <f>((G63/F63)^(1/1))-1</f>
        <v>-0.1948621172</v>
      </c>
      <c r="P36" s="137">
        <f>((G49/F49)^(1/1))-1</f>
        <v>-0.007567401961</v>
      </c>
    </row>
    <row r="37" ht="15.75" customHeight="1">
      <c r="A37" s="19" t="s">
        <v>162</v>
      </c>
      <c r="B37" s="133">
        <f>N22/J38</f>
        <v>0.3201716632</v>
      </c>
      <c r="C37" s="127"/>
      <c r="D37" s="51" t="s">
        <v>163</v>
      </c>
      <c r="E37" s="134">
        <v>2772.0</v>
      </c>
      <c r="F37" s="134">
        <v>2687.9</v>
      </c>
      <c r="G37" s="134">
        <v>2826.7</v>
      </c>
      <c r="H37" s="134">
        <v>1370.2</v>
      </c>
      <c r="I37" s="134">
        <v>1444.0</v>
      </c>
      <c r="J37" s="136">
        <f>G37+I37-H37</f>
        <v>2900.5</v>
      </c>
      <c r="L37" s="19" t="s">
        <v>164</v>
      </c>
      <c r="M37" s="132">
        <f>((G7/E7)^(1/2))-1</f>
        <v>0.03862981587</v>
      </c>
      <c r="N37" s="135">
        <f>((G38/E38)^(1/2))-1</f>
        <v>-0.003690562804</v>
      </c>
      <c r="O37" s="135">
        <f>((G63/E63)^(1/2))-1</f>
        <v>-0.1721763016</v>
      </c>
      <c r="P37" s="119">
        <f>((G49/E49)^(1/2))-1</f>
        <v>0.1293206683</v>
      </c>
    </row>
    <row r="38" ht="15.75" customHeight="1">
      <c r="A38" s="19" t="s">
        <v>201</v>
      </c>
      <c r="B38" s="154">
        <f>(N22-N7)/J38</f>
        <v>-0.5703404158</v>
      </c>
      <c r="C38" s="127"/>
      <c r="D38" s="32" t="s">
        <v>166</v>
      </c>
      <c r="E38" s="33">
        <f t="shared" ref="E38:J38" si="21">E34+E37</f>
        <v>14944</v>
      </c>
      <c r="F38" s="33">
        <f t="shared" si="21"/>
        <v>13415.7</v>
      </c>
      <c r="G38" s="33">
        <f t="shared" si="21"/>
        <v>14833.9</v>
      </c>
      <c r="H38" s="33">
        <f t="shared" si="21"/>
        <v>7566.7</v>
      </c>
      <c r="I38" s="33">
        <f t="shared" si="21"/>
        <v>8880.7</v>
      </c>
      <c r="J38" s="42">
        <f t="shared" si="21"/>
        <v>16147.9</v>
      </c>
      <c r="L38" s="32" t="s">
        <v>167</v>
      </c>
      <c r="M38" s="74"/>
      <c r="N38" s="74"/>
      <c r="O38" s="74"/>
      <c r="P38" s="75"/>
    </row>
    <row r="39" ht="15.75" customHeight="1">
      <c r="A39" s="19"/>
      <c r="B39" s="75"/>
      <c r="C39" s="127"/>
      <c r="D39" s="76" t="s">
        <v>143</v>
      </c>
      <c r="E39" s="90">
        <f t="shared" ref="E39:J39" si="22">E38/E7</f>
        <v>0.1864050543</v>
      </c>
      <c r="F39" s="90">
        <f t="shared" si="22"/>
        <v>0.1614013939</v>
      </c>
      <c r="G39" s="90">
        <f t="shared" si="22"/>
        <v>0.1715238833</v>
      </c>
      <c r="H39" s="90">
        <f t="shared" si="22"/>
        <v>0.1825183563</v>
      </c>
      <c r="I39" s="90">
        <f t="shared" si="22"/>
        <v>0.2004871816</v>
      </c>
      <c r="J39" s="77">
        <f t="shared" si="22"/>
        <v>0.1807842242</v>
      </c>
      <c r="L39" s="19" t="s">
        <v>161</v>
      </c>
      <c r="M39" s="132">
        <f>((F72/G7)^(1/1))-1</f>
        <v>0.06449822508</v>
      </c>
      <c r="N39" s="132">
        <f>((F74/G38)^(1/1))-1</f>
        <v>0.122496444</v>
      </c>
      <c r="O39" s="135">
        <f>((F80/G63)^(1/1))-1</f>
        <v>-0.1884167549</v>
      </c>
      <c r="P39" s="119">
        <f>((F78/G49)^(1/1))-1</f>
        <v>0.1279033639</v>
      </c>
    </row>
    <row r="40" ht="15.75" customHeight="1">
      <c r="A40" s="32" t="s">
        <v>206</v>
      </c>
      <c r="B40" s="75"/>
      <c r="C40" s="127"/>
      <c r="D40" s="19"/>
      <c r="E40" s="74"/>
      <c r="F40" s="74"/>
      <c r="G40" s="74"/>
      <c r="H40" s="74"/>
      <c r="I40" s="74"/>
      <c r="J40" s="75"/>
      <c r="L40" s="19" t="s">
        <v>164</v>
      </c>
      <c r="M40" s="132">
        <f>((G72/G7)^(1/2))-1</f>
        <v>0.05179069151</v>
      </c>
      <c r="N40" s="132">
        <f>((G74/G38)^(1/2))-1</f>
        <v>0.09200334196</v>
      </c>
      <c r="O40" s="132">
        <f>((G80/G63)^(1/2))-1</f>
        <v>0.1799396909</v>
      </c>
      <c r="P40" s="119">
        <f>((G78/G49)^(1/2))-1</f>
        <v>0.08782995966</v>
      </c>
    </row>
    <row r="41" ht="15.75" customHeight="1">
      <c r="A41" s="19" t="s">
        <v>169</v>
      </c>
      <c r="B41" s="133">
        <f>J38/385.3</f>
        <v>41.90994031</v>
      </c>
      <c r="C41" s="127"/>
      <c r="D41" s="19" t="s">
        <v>170</v>
      </c>
      <c r="E41" s="140">
        <f t="shared" ref="E41:J41" si="23">E17</f>
        <v>-636.3</v>
      </c>
      <c r="F41" s="45">
        <f t="shared" si="23"/>
        <v>445.8</v>
      </c>
      <c r="G41" s="45">
        <f t="shared" si="23"/>
        <v>8618.1</v>
      </c>
      <c r="H41" s="45">
        <f t="shared" si="23"/>
        <v>4411.2</v>
      </c>
      <c r="I41" s="45">
        <f t="shared" si="23"/>
        <v>5827.3</v>
      </c>
      <c r="J41" s="46">
        <f t="shared" si="23"/>
        <v>10034.2</v>
      </c>
      <c r="L41" s="82" t="s">
        <v>207</v>
      </c>
      <c r="M41" s="138"/>
      <c r="N41" s="138"/>
      <c r="O41" s="138"/>
      <c r="P41" s="123">
        <v>0.091</v>
      </c>
    </row>
    <row r="42" ht="15.75" customHeight="1">
      <c r="A42" s="19" t="s">
        <v>173</v>
      </c>
      <c r="B42" s="133">
        <f>(J38-J59)/385.3</f>
        <v>28.88242928</v>
      </c>
      <c r="C42" s="127"/>
      <c r="D42" s="19" t="s">
        <v>125</v>
      </c>
      <c r="E42" s="124" t="s">
        <v>80</v>
      </c>
      <c r="F42" s="124" t="s">
        <v>80</v>
      </c>
      <c r="G42" s="124" t="s">
        <v>80</v>
      </c>
      <c r="H42" s="124" t="s">
        <v>80</v>
      </c>
      <c r="I42" s="124" t="s">
        <v>80</v>
      </c>
      <c r="J42" s="21" t="s">
        <v>80</v>
      </c>
      <c r="L42" s="139" t="s">
        <v>174</v>
      </c>
    </row>
    <row r="43" ht="15.75" customHeight="1">
      <c r="A43" s="51" t="s">
        <v>175</v>
      </c>
      <c r="B43" s="141">
        <f>J34/385.3</f>
        <v>34.38203997</v>
      </c>
      <c r="C43" s="125" t="s">
        <v>151</v>
      </c>
      <c r="D43" s="19" t="s">
        <v>152</v>
      </c>
      <c r="E43" s="56">
        <f t="shared" ref="E43:J43" si="24">E33</f>
        <v>13786.7</v>
      </c>
      <c r="F43" s="56">
        <f t="shared" si="24"/>
        <v>7122.9</v>
      </c>
      <c r="G43" s="56">
        <f t="shared" si="24"/>
        <v>377.5</v>
      </c>
      <c r="H43" s="56">
        <f t="shared" si="24"/>
        <v>201.3</v>
      </c>
      <c r="I43" s="56">
        <f t="shared" si="24"/>
        <v>78</v>
      </c>
      <c r="J43" s="58">
        <f t="shared" si="24"/>
        <v>254.2</v>
      </c>
      <c r="L43" s="142" t="s">
        <v>208</v>
      </c>
    </row>
    <row r="44" ht="15.75" customHeight="1">
      <c r="A44" s="139" t="s">
        <v>177</v>
      </c>
      <c r="C44" s="125" t="s">
        <v>180</v>
      </c>
      <c r="D44" s="19" t="s">
        <v>178</v>
      </c>
      <c r="E44" s="56">
        <v>-1471.5</v>
      </c>
      <c r="F44" s="56">
        <v>2658.8</v>
      </c>
      <c r="G44" s="56">
        <v>1062.3</v>
      </c>
      <c r="H44" s="56">
        <v>260.8</v>
      </c>
      <c r="I44" s="56">
        <v>-298.6</v>
      </c>
      <c r="J44" s="58">
        <f t="shared" ref="J44:J45" si="25">G44+I44-H44</f>
        <v>502.9</v>
      </c>
    </row>
    <row r="45" ht="15.75" customHeight="1">
      <c r="A45" s="142" t="s">
        <v>209</v>
      </c>
      <c r="C45" s="125" t="s">
        <v>210</v>
      </c>
      <c r="D45" s="51" t="s">
        <v>181</v>
      </c>
      <c r="E45" s="52">
        <v>-4059.2</v>
      </c>
      <c r="F45" s="52">
        <v>-435.5</v>
      </c>
      <c r="G45" s="52">
        <v>-340.0</v>
      </c>
      <c r="H45" s="52">
        <v>-139.3</v>
      </c>
      <c r="I45" s="52">
        <v>-112.9</v>
      </c>
      <c r="J45" s="55">
        <f t="shared" si="25"/>
        <v>-313.6</v>
      </c>
    </row>
    <row r="46" ht="15.75" customHeight="1">
      <c r="A46" s="142" t="s">
        <v>211</v>
      </c>
      <c r="D46" s="32" t="s">
        <v>182</v>
      </c>
      <c r="E46" s="33">
        <f t="shared" ref="E46:J46" si="26">E41+E43+E44+E45</f>
        <v>7619.7</v>
      </c>
      <c r="F46" s="33">
        <f t="shared" si="26"/>
        <v>9792</v>
      </c>
      <c r="G46" s="33">
        <f t="shared" si="26"/>
        <v>9717.9</v>
      </c>
      <c r="H46" s="33">
        <f t="shared" si="26"/>
        <v>4734</v>
      </c>
      <c r="I46" s="33">
        <f t="shared" si="26"/>
        <v>5493.8</v>
      </c>
      <c r="J46" s="42">
        <f t="shared" si="26"/>
        <v>10477.7</v>
      </c>
    </row>
    <row r="47" ht="15.75" customHeight="1">
      <c r="D47" s="76" t="s">
        <v>143</v>
      </c>
      <c r="E47" s="90">
        <f t="shared" ref="E47:J47" si="27">E46/E7</f>
        <v>0.09504487367</v>
      </c>
      <c r="F47" s="90">
        <f t="shared" si="27"/>
        <v>0.1178054406</v>
      </c>
      <c r="G47" s="90">
        <f t="shared" si="27"/>
        <v>0.1123677486</v>
      </c>
      <c r="H47" s="90">
        <f t="shared" si="27"/>
        <v>0.1141900563</v>
      </c>
      <c r="I47" s="90">
        <f t="shared" si="27"/>
        <v>0.1240258626</v>
      </c>
      <c r="J47" s="77">
        <f t="shared" si="27"/>
        <v>0.1173033562</v>
      </c>
    </row>
    <row r="48" ht="15.75" customHeight="1">
      <c r="D48" s="19"/>
      <c r="E48" s="74"/>
      <c r="F48" s="74"/>
      <c r="G48" s="74"/>
      <c r="H48" s="74"/>
      <c r="I48" s="74"/>
      <c r="J48" s="75"/>
    </row>
    <row r="49" ht="15.75" customHeight="1">
      <c r="D49" s="143" t="s">
        <v>185</v>
      </c>
      <c r="E49" s="144">
        <f t="shared" ref="E49:J49" si="28">E46/E20</f>
        <v>0.4240561735</v>
      </c>
      <c r="F49" s="144">
        <f t="shared" si="28"/>
        <v>0.5449503328</v>
      </c>
      <c r="G49" s="144">
        <f t="shared" si="28"/>
        <v>0.5408264746</v>
      </c>
      <c r="H49" s="144">
        <f t="shared" si="28"/>
        <v>0.263459444</v>
      </c>
      <c r="I49" s="144">
        <f t="shared" si="28"/>
        <v>0.3057442952</v>
      </c>
      <c r="J49" s="145">
        <f t="shared" si="28"/>
        <v>0.5831113258</v>
      </c>
    </row>
    <row r="50" ht="15.75" customHeight="1">
      <c r="D50" s="139" t="s">
        <v>177</v>
      </c>
    </row>
    <row r="51" ht="15.75" customHeight="1">
      <c r="D51" s="142" t="s">
        <v>212</v>
      </c>
    </row>
    <row r="52" ht="15.75" customHeight="1">
      <c r="D52" s="142" t="s">
        <v>213</v>
      </c>
    </row>
    <row r="53" ht="15.75" customHeight="1">
      <c r="D53" s="142" t="s">
        <v>214</v>
      </c>
    </row>
    <row r="54" ht="15.75" customHeight="1"/>
    <row r="55" ht="15.75" customHeight="1">
      <c r="D55" s="49" t="s">
        <v>188</v>
      </c>
      <c r="E55" s="4"/>
      <c r="F55" s="4"/>
      <c r="G55" s="4"/>
      <c r="H55" s="4"/>
      <c r="I55" s="4"/>
      <c r="J55" s="5"/>
    </row>
    <row r="56" ht="15.75" customHeight="1">
      <c r="D56" s="62" t="s">
        <v>13</v>
      </c>
      <c r="E56" s="8"/>
      <c r="F56" s="8"/>
      <c r="G56" s="8"/>
      <c r="H56" s="8"/>
      <c r="I56" s="8"/>
      <c r="J56" s="10"/>
    </row>
    <row r="57" ht="15.75" customHeight="1">
      <c r="D57" s="19"/>
      <c r="E57" s="27" t="s">
        <v>19</v>
      </c>
      <c r="F57" s="27" t="s">
        <v>21</v>
      </c>
      <c r="G57" s="27" t="s">
        <v>23</v>
      </c>
      <c r="H57" s="27" t="s">
        <v>24</v>
      </c>
      <c r="I57" s="27" t="s">
        <v>25</v>
      </c>
      <c r="J57" s="29" t="s">
        <v>27</v>
      </c>
    </row>
    <row r="58" ht="15.75" customHeight="1">
      <c r="D58" s="19" t="s">
        <v>189</v>
      </c>
      <c r="E58" s="45">
        <v>13291.2</v>
      </c>
      <c r="F58" s="45">
        <v>13036.6</v>
      </c>
      <c r="G58" s="45">
        <v>11332.1</v>
      </c>
      <c r="H58" s="45">
        <v>4310.0</v>
      </c>
      <c r="I58" s="45">
        <v>7631.6</v>
      </c>
      <c r="J58" s="46">
        <f t="shared" ref="J58:J59" si="29">G58+I58-H58</f>
        <v>14653.7</v>
      </c>
    </row>
    <row r="59" ht="15.75" customHeight="1">
      <c r="D59" s="19" t="s">
        <v>190</v>
      </c>
      <c r="E59" s="56">
        <v>3641.3</v>
      </c>
      <c r="F59" s="56">
        <v>4823.1</v>
      </c>
      <c r="G59" s="56">
        <v>4719.1</v>
      </c>
      <c r="H59" s="56">
        <v>1281.3</v>
      </c>
      <c r="I59" s="56">
        <v>1581.7</v>
      </c>
      <c r="J59" s="58">
        <f t="shared" si="29"/>
        <v>5019.5</v>
      </c>
    </row>
    <row r="60" ht="15.75" customHeight="1">
      <c r="D60" s="93" t="s">
        <v>191</v>
      </c>
      <c r="E60" s="147">
        <f t="shared" ref="E60:J60" si="30">E59/E7</f>
        <v>0.04542001634</v>
      </c>
      <c r="F60" s="147">
        <f t="shared" si="30"/>
        <v>0.0580256761</v>
      </c>
      <c r="G60" s="147">
        <f t="shared" si="30"/>
        <v>0.05456679347</v>
      </c>
      <c r="H60" s="147">
        <f t="shared" si="30"/>
        <v>0.03090657353</v>
      </c>
      <c r="I60" s="147">
        <f t="shared" si="30"/>
        <v>0.03570783554</v>
      </c>
      <c r="J60" s="148">
        <f t="shared" si="30"/>
        <v>0.05619593961</v>
      </c>
    </row>
    <row r="61" ht="15.75" customHeight="1">
      <c r="D61" s="32" t="s">
        <v>193</v>
      </c>
      <c r="E61" s="33">
        <f t="shared" ref="E61:J61" si="31">E58-E59</f>
        <v>9649.9</v>
      </c>
      <c r="F61" s="33">
        <f t="shared" si="31"/>
        <v>8213.5</v>
      </c>
      <c r="G61" s="33">
        <f t="shared" si="31"/>
        <v>6613</v>
      </c>
      <c r="H61" s="33">
        <f t="shared" si="31"/>
        <v>3028.7</v>
      </c>
      <c r="I61" s="33">
        <f t="shared" si="31"/>
        <v>6049.9</v>
      </c>
      <c r="J61" s="42">
        <f t="shared" si="31"/>
        <v>9634.2</v>
      </c>
    </row>
    <row r="62" ht="15.75" customHeight="1">
      <c r="D62" s="76" t="s">
        <v>143</v>
      </c>
      <c r="E62" s="90">
        <f t="shared" ref="E62:J62" si="32">E61/E7</f>
        <v>0.1203687188</v>
      </c>
      <c r="F62" s="90">
        <f t="shared" si="32"/>
        <v>0.09881484743</v>
      </c>
      <c r="G62" s="90">
        <f t="shared" si="32"/>
        <v>0.07646589503</v>
      </c>
      <c r="H62" s="90">
        <f t="shared" si="32"/>
        <v>0.07305606746</v>
      </c>
      <c r="I62" s="90">
        <f t="shared" si="32"/>
        <v>0.1365801569</v>
      </c>
      <c r="J62" s="77">
        <f t="shared" si="32"/>
        <v>0.1078599305</v>
      </c>
    </row>
    <row r="63" ht="15.75" customHeight="1">
      <c r="D63" s="32" t="s">
        <v>195</v>
      </c>
      <c r="E63" s="33">
        <f t="shared" ref="E63:J63" si="33">E61/E20</f>
        <v>0.5370420973</v>
      </c>
      <c r="F63" s="33">
        <f t="shared" si="33"/>
        <v>0.4571026919</v>
      </c>
      <c r="G63" s="33">
        <f t="shared" si="33"/>
        <v>0.3680306935</v>
      </c>
      <c r="H63" s="33">
        <f t="shared" si="33"/>
        <v>0.1685550524</v>
      </c>
      <c r="I63" s="33">
        <f t="shared" si="33"/>
        <v>0.3366927102</v>
      </c>
      <c r="J63" s="42">
        <f t="shared" si="33"/>
        <v>0.5361683514</v>
      </c>
    </row>
    <row r="64" ht="15.75" customHeight="1">
      <c r="D64" s="19"/>
      <c r="E64" s="74"/>
      <c r="F64" s="74"/>
      <c r="G64" s="74"/>
      <c r="H64" s="74"/>
      <c r="I64" s="74"/>
      <c r="J64" s="75"/>
    </row>
    <row r="65" ht="15.75" customHeight="1">
      <c r="D65" s="19" t="s">
        <v>163</v>
      </c>
      <c r="E65" s="45">
        <f t="shared" ref="E65:J65" si="34">E37</f>
        <v>2772</v>
      </c>
      <c r="F65" s="45">
        <f t="shared" si="34"/>
        <v>2687.9</v>
      </c>
      <c r="G65" s="45">
        <f t="shared" si="34"/>
        <v>2826.7</v>
      </c>
      <c r="H65" s="45">
        <f t="shared" si="34"/>
        <v>1370.2</v>
      </c>
      <c r="I65" s="45">
        <f t="shared" si="34"/>
        <v>1444</v>
      </c>
      <c r="J65" s="46">
        <f t="shared" si="34"/>
        <v>2900.5</v>
      </c>
    </row>
    <row r="66" ht="15.75" customHeight="1">
      <c r="D66" s="93" t="s">
        <v>191</v>
      </c>
      <c r="E66" s="147">
        <f t="shared" ref="E66:J66" si="35">E65/E7</f>
        <v>0.03457674053</v>
      </c>
      <c r="F66" s="147">
        <f t="shared" si="35"/>
        <v>0.03233754531</v>
      </c>
      <c r="G66" s="147">
        <f t="shared" si="35"/>
        <v>0.03268503637</v>
      </c>
      <c r="H66" s="147">
        <f t="shared" si="35"/>
        <v>0.03305095375</v>
      </c>
      <c r="I66" s="147">
        <f t="shared" si="35"/>
        <v>0.03259917464</v>
      </c>
      <c r="J66" s="148">
        <f t="shared" si="35"/>
        <v>0.03247262134</v>
      </c>
    </row>
    <row r="67" ht="15.75" customHeight="1"/>
    <row r="68" ht="15.75" customHeight="1">
      <c r="D68" s="49" t="s">
        <v>197</v>
      </c>
      <c r="E68" s="4"/>
      <c r="F68" s="4"/>
      <c r="G68" s="4"/>
      <c r="H68" s="5"/>
    </row>
    <row r="69" ht="15.75" customHeight="1">
      <c r="D69" s="62" t="s">
        <v>13</v>
      </c>
      <c r="E69" s="8"/>
      <c r="F69" s="8"/>
      <c r="G69" s="8"/>
      <c r="H69" s="10"/>
    </row>
    <row r="70" ht="15.75" customHeight="1">
      <c r="D70" s="19"/>
      <c r="E70" s="27" t="s">
        <v>32</v>
      </c>
      <c r="F70" s="27" t="s">
        <v>37</v>
      </c>
      <c r="G70" s="27" t="s">
        <v>39</v>
      </c>
      <c r="H70" s="29" t="s">
        <v>198</v>
      </c>
    </row>
    <row r="71" ht="15.75" customHeight="1">
      <c r="D71" s="150" t="s">
        <v>199</v>
      </c>
      <c r="E71" s="151">
        <f t="shared" ref="E71:H71" si="36">$B$26/E72</f>
        <v>1.330557998</v>
      </c>
      <c r="F71" s="151">
        <f t="shared" si="36"/>
        <v>1.290962549</v>
      </c>
      <c r="G71" s="151">
        <f t="shared" si="36"/>
        <v>1.242224067</v>
      </c>
      <c r="H71" s="152">
        <f t="shared" si="36"/>
        <v>1.184776529</v>
      </c>
    </row>
    <row r="72" ht="15.75" customHeight="1">
      <c r="D72" s="153" t="s">
        <v>200</v>
      </c>
      <c r="E72" s="45">
        <f>J7</f>
        <v>89321.4</v>
      </c>
      <c r="F72" s="45">
        <v>92061.0</v>
      </c>
      <c r="G72" s="45">
        <v>95673.0</v>
      </c>
      <c r="H72" s="46">
        <v>100312.0</v>
      </c>
    </row>
    <row r="73" ht="15.75" customHeight="1">
      <c r="D73" s="150" t="s">
        <v>12</v>
      </c>
      <c r="E73" s="151">
        <f t="shared" ref="E73:H73" si="37">$B$26/E74</f>
        <v>7.35992316</v>
      </c>
      <c r="F73" s="151">
        <f t="shared" si="37"/>
        <v>7.137547487</v>
      </c>
      <c r="G73" s="151">
        <f t="shared" si="37"/>
        <v>6.718712375</v>
      </c>
      <c r="H73" s="152">
        <f t="shared" si="37"/>
        <v>6.288882591</v>
      </c>
    </row>
    <row r="74" ht="15.75" customHeight="1">
      <c r="D74" s="153" t="s">
        <v>200</v>
      </c>
      <c r="E74" s="45">
        <f>J38</f>
        <v>16147.9</v>
      </c>
      <c r="F74" s="45">
        <v>16651.0</v>
      </c>
      <c r="G74" s="45">
        <v>17689.0</v>
      </c>
      <c r="H74" s="46">
        <v>18898.0</v>
      </c>
    </row>
    <row r="75" ht="15.75" customHeight="1">
      <c r="D75" s="150" t="s">
        <v>202</v>
      </c>
      <c r="E75" s="151">
        <f t="shared" ref="E75:H75" si="38">$B$26/E76</f>
        <v>8.971368208</v>
      </c>
      <c r="F75" s="151">
        <f t="shared" si="38"/>
        <v>8.776200207</v>
      </c>
      <c r="G75" s="151">
        <f t="shared" si="38"/>
        <v>8.203720798</v>
      </c>
      <c r="H75" s="152">
        <f t="shared" si="38"/>
        <v>7.598446595</v>
      </c>
    </row>
    <row r="76" ht="15.75" customHeight="1">
      <c r="D76" s="153" t="s">
        <v>200</v>
      </c>
      <c r="E76" s="45">
        <f>J34</f>
        <v>13247.4</v>
      </c>
      <c r="F76" s="45">
        <v>13542.0</v>
      </c>
      <c r="G76" s="45">
        <v>14487.0</v>
      </c>
      <c r="H76" s="46">
        <v>15641.0</v>
      </c>
    </row>
    <row r="77" ht="15.75" customHeight="1">
      <c r="D77" s="150" t="s">
        <v>16</v>
      </c>
      <c r="E77" s="151">
        <f t="shared" ref="E77:H77" si="39">$B$13/E78</f>
        <v>12.21036136</v>
      </c>
      <c r="F77" s="151">
        <f t="shared" si="39"/>
        <v>11.67213115</v>
      </c>
      <c r="G77" s="151">
        <f t="shared" si="39"/>
        <v>11.125</v>
      </c>
      <c r="H77" s="152">
        <f t="shared" si="39"/>
        <v>10.47058824</v>
      </c>
    </row>
    <row r="78" ht="15.75" customHeight="1">
      <c r="D78" s="153" t="s">
        <v>200</v>
      </c>
      <c r="E78" s="45">
        <f>J49</f>
        <v>0.5831113258</v>
      </c>
      <c r="F78" s="45">
        <v>0.61</v>
      </c>
      <c r="G78" s="45">
        <v>0.64</v>
      </c>
      <c r="H78" s="46">
        <v>0.68</v>
      </c>
    </row>
    <row r="79" ht="15.75" customHeight="1">
      <c r="D79" s="150" t="s">
        <v>20</v>
      </c>
      <c r="E79" s="156">
        <f t="shared" ref="E79:H79" si="40">E80/$B$13</f>
        <v>0.07530454373</v>
      </c>
      <c r="F79" s="156">
        <f t="shared" si="40"/>
        <v>0.04195049783</v>
      </c>
      <c r="G79" s="156">
        <f t="shared" si="40"/>
        <v>0.07196538728</v>
      </c>
      <c r="H79" s="157">
        <f t="shared" si="40"/>
        <v>0.08611303048</v>
      </c>
    </row>
    <row r="80" ht="15.75" customHeight="1">
      <c r="D80" s="158" t="s">
        <v>200</v>
      </c>
      <c r="E80" s="161">
        <f>J63</f>
        <v>0.5361683514</v>
      </c>
      <c r="F80" s="161">
        <f>5367/J20</f>
        <v>0.2986875446</v>
      </c>
      <c r="G80" s="161">
        <f>9207/J20</f>
        <v>0.5123935574</v>
      </c>
      <c r="H80" s="162">
        <f>11017/J20</f>
        <v>0.613124777</v>
      </c>
    </row>
    <row r="81" ht="15.75" customHeight="1"/>
    <row r="82" ht="15.75" customHeight="1"/>
    <row r="83" ht="15.75" customHeight="1">
      <c r="F83" s="163"/>
    </row>
    <row r="84" ht="15.75" customHeight="1">
      <c r="F84" s="163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P1"/>
    <mergeCell ref="A2:P2"/>
    <mergeCell ref="A4:B4"/>
    <mergeCell ref="D4:J4"/>
    <mergeCell ref="L4:N4"/>
    <mergeCell ref="D5:J5"/>
    <mergeCell ref="L5:N5"/>
    <mergeCell ref="A11:B11"/>
    <mergeCell ref="A12:B12"/>
    <mergeCell ref="D23:J23"/>
    <mergeCell ref="D24:J24"/>
    <mergeCell ref="A28:B28"/>
    <mergeCell ref="L33:P33"/>
    <mergeCell ref="A34:B34"/>
    <mergeCell ref="D52:J52"/>
    <mergeCell ref="D53:J53"/>
    <mergeCell ref="D55:J55"/>
    <mergeCell ref="D56:J56"/>
    <mergeCell ref="D68:H68"/>
    <mergeCell ref="D69:H69"/>
    <mergeCell ref="L42:P42"/>
    <mergeCell ref="L43:P43"/>
    <mergeCell ref="A44:B44"/>
    <mergeCell ref="A45:B45"/>
    <mergeCell ref="A46:B46"/>
    <mergeCell ref="D50:J50"/>
    <mergeCell ref="D51:J5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75"/>
    <col customWidth="1" min="2" max="2" width="30.13"/>
    <col customWidth="1" min="3" max="3" width="5.25"/>
    <col customWidth="1" min="4" max="4" width="29.63"/>
    <col customWidth="1" min="5" max="6" width="12.63"/>
    <col customWidth="1" min="8" max="8" width="22.13"/>
    <col customWidth="1" min="9" max="9" width="22.5"/>
    <col customWidth="1" min="10" max="10" width="19.13"/>
    <col customWidth="1" min="11" max="11" width="4.5"/>
    <col customWidth="1" min="12" max="12" width="31.0"/>
  </cols>
  <sheetData>
    <row r="1" ht="15.75" customHeight="1">
      <c r="A1" s="3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2" ht="15.75" customHeight="1">
      <c r="A2" s="9" t="s">
        <v>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10"/>
    </row>
    <row r="3" ht="15.75" customHeight="1"/>
    <row r="4" ht="15.75" customHeight="1">
      <c r="A4" s="13" t="s">
        <v>6</v>
      </c>
      <c r="B4" s="14"/>
      <c r="D4" s="20" t="s">
        <v>8</v>
      </c>
      <c r="E4" s="4"/>
      <c r="F4" s="4"/>
      <c r="G4" s="4"/>
      <c r="H4" s="4"/>
      <c r="I4" s="4"/>
      <c r="J4" s="5"/>
      <c r="L4" s="20" t="s">
        <v>9</v>
      </c>
      <c r="M4" s="4"/>
      <c r="N4" s="5"/>
    </row>
    <row r="5" ht="15.75" customHeight="1">
      <c r="A5" s="19" t="s">
        <v>10</v>
      </c>
      <c r="B5" s="21" t="s">
        <v>14</v>
      </c>
      <c r="D5" s="26" t="s">
        <v>13</v>
      </c>
      <c r="E5" s="8"/>
      <c r="F5" s="8"/>
      <c r="G5" s="8"/>
      <c r="H5" s="8"/>
      <c r="I5" s="8"/>
      <c r="J5" s="10"/>
      <c r="L5" s="26" t="s">
        <v>15</v>
      </c>
      <c r="M5" s="8"/>
      <c r="N5" s="10"/>
    </row>
    <row r="6" ht="15.75" customHeight="1">
      <c r="A6" s="19" t="s">
        <v>17</v>
      </c>
      <c r="B6" s="21" t="s">
        <v>22</v>
      </c>
      <c r="D6" s="19"/>
      <c r="E6" s="27" t="s">
        <v>19</v>
      </c>
      <c r="F6" s="27" t="s">
        <v>21</v>
      </c>
      <c r="G6" s="27" t="s">
        <v>23</v>
      </c>
      <c r="H6" s="27" t="s">
        <v>24</v>
      </c>
      <c r="I6" s="27" t="s">
        <v>25</v>
      </c>
      <c r="J6" s="29" t="s">
        <v>27</v>
      </c>
      <c r="L6" s="19"/>
      <c r="M6" s="27" t="s">
        <v>23</v>
      </c>
      <c r="N6" s="29" t="s">
        <v>33</v>
      </c>
    </row>
    <row r="7" ht="15.75" customHeight="1">
      <c r="A7" s="19" t="s">
        <v>35</v>
      </c>
      <c r="B7" s="21" t="s">
        <v>36</v>
      </c>
      <c r="D7" s="32" t="s">
        <v>38</v>
      </c>
      <c r="E7" s="33">
        <v>157752.18</v>
      </c>
      <c r="F7" s="33">
        <v>161867.24</v>
      </c>
      <c r="G7" s="33">
        <v>168009.18</v>
      </c>
      <c r="H7" s="33">
        <v>85886.44</v>
      </c>
      <c r="I7" s="33">
        <v>89338.84</v>
      </c>
      <c r="J7" s="42">
        <f t="shared" ref="J7:J8" si="1">G7+I7-H7</f>
        <v>171461.58</v>
      </c>
      <c r="L7" s="19" t="s">
        <v>46</v>
      </c>
      <c r="M7" s="45">
        <v>11226.61</v>
      </c>
      <c r="N7" s="46">
        <v>13175.58</v>
      </c>
    </row>
    <row r="8" ht="15.75" customHeight="1">
      <c r="A8" s="19" t="s">
        <v>49</v>
      </c>
      <c r="B8" s="48">
        <v>46387.0</v>
      </c>
      <c r="D8" s="51" t="s">
        <v>50</v>
      </c>
      <c r="E8" s="52">
        <v>115010.46</v>
      </c>
      <c r="F8" s="52">
        <v>117837.94</v>
      </c>
      <c r="G8" s="52">
        <v>123699.93</v>
      </c>
      <c r="H8" s="52">
        <v>62371.23</v>
      </c>
      <c r="I8" s="52">
        <v>64559.28</v>
      </c>
      <c r="J8" s="55">
        <f t="shared" si="1"/>
        <v>125887.98</v>
      </c>
      <c r="L8" s="19" t="s">
        <v>51</v>
      </c>
      <c r="M8" s="56">
        <v>22244.39</v>
      </c>
      <c r="N8" s="58">
        <v>19553.6</v>
      </c>
    </row>
    <row r="9" ht="15.75" customHeight="1">
      <c r="A9" s="51" t="s">
        <v>52</v>
      </c>
      <c r="B9" s="61">
        <v>0.25</v>
      </c>
      <c r="D9" s="32" t="s">
        <v>54</v>
      </c>
      <c r="E9" s="33">
        <f t="shared" ref="E9:J9" si="2">E7-E8</f>
        <v>42741.72</v>
      </c>
      <c r="F9" s="33">
        <f t="shared" si="2"/>
        <v>44029.3</v>
      </c>
      <c r="G9" s="33">
        <f t="shared" si="2"/>
        <v>44309.25</v>
      </c>
      <c r="H9" s="33">
        <f t="shared" si="2"/>
        <v>23515.21</v>
      </c>
      <c r="I9" s="33">
        <f t="shared" si="2"/>
        <v>24779.56</v>
      </c>
      <c r="J9" s="42">
        <f t="shared" si="2"/>
        <v>45573.6</v>
      </c>
      <c r="L9" s="19" t="s">
        <v>58</v>
      </c>
      <c r="M9" s="56">
        <v>37886.49</v>
      </c>
      <c r="N9" s="58">
        <v>42953.39</v>
      </c>
    </row>
    <row r="10" ht="15.75" customHeight="1">
      <c r="D10" s="51" t="s">
        <v>59</v>
      </c>
      <c r="E10" s="52">
        <v>25353.11</v>
      </c>
      <c r="F10" s="52">
        <v>27377.27</v>
      </c>
      <c r="G10" s="52">
        <v>28179.5</v>
      </c>
      <c r="H10" s="52">
        <v>14093.55</v>
      </c>
      <c r="I10" s="52">
        <v>15389.58</v>
      </c>
      <c r="J10" s="55">
        <f>G10+I10-H10</f>
        <v>29475.53</v>
      </c>
      <c r="L10" s="51" t="s">
        <v>62</v>
      </c>
      <c r="M10" s="52">
        <v>6160.65</v>
      </c>
      <c r="N10" s="55">
        <v>4665.88</v>
      </c>
    </row>
    <row r="11" ht="15.75" customHeight="1">
      <c r="A11" s="20" t="s">
        <v>63</v>
      </c>
      <c r="B11" s="5"/>
      <c r="D11" s="32" t="s">
        <v>65</v>
      </c>
      <c r="E11" s="33">
        <f t="shared" ref="E11:J11" si="3">E9-E10</f>
        <v>17388.61</v>
      </c>
      <c r="F11" s="33">
        <f t="shared" si="3"/>
        <v>16652.03</v>
      </c>
      <c r="G11" s="33">
        <f t="shared" si="3"/>
        <v>16129.75</v>
      </c>
      <c r="H11" s="33">
        <f t="shared" si="3"/>
        <v>9421.66</v>
      </c>
      <c r="I11" s="33">
        <f t="shared" si="3"/>
        <v>9389.98</v>
      </c>
      <c r="J11" s="42">
        <f t="shared" si="3"/>
        <v>16098.07</v>
      </c>
      <c r="L11" s="32" t="s">
        <v>66</v>
      </c>
      <c r="M11" s="33">
        <f t="shared" ref="M11:N11" si="4">SUM(M7:M10)</f>
        <v>77518.14</v>
      </c>
      <c r="N11" s="42">
        <f t="shared" si="4"/>
        <v>80348.45</v>
      </c>
    </row>
    <row r="12" ht="15.75" customHeight="1">
      <c r="A12" s="26" t="s">
        <v>68</v>
      </c>
      <c r="B12" s="10"/>
      <c r="D12" s="19" t="s">
        <v>64</v>
      </c>
      <c r="E12" s="56">
        <v>359.5</v>
      </c>
      <c r="F12" s="56">
        <v>-109.61</v>
      </c>
      <c r="G12" s="56">
        <v>1499.82</v>
      </c>
      <c r="H12" s="56">
        <v>465.51</v>
      </c>
      <c r="I12" s="56">
        <v>-148.93</v>
      </c>
      <c r="J12" s="58">
        <f t="shared" ref="J12:J13" si="5">G12+I12-H12</f>
        <v>885.38</v>
      </c>
      <c r="L12" s="19"/>
      <c r="M12" s="74"/>
      <c r="N12" s="75"/>
    </row>
    <row r="13" ht="15.75" customHeight="1">
      <c r="A13" s="19" t="s">
        <v>69</v>
      </c>
      <c r="B13" s="46">
        <v>62.1</v>
      </c>
      <c r="D13" s="51" t="s">
        <v>70</v>
      </c>
      <c r="E13" s="52">
        <v>1347.7</v>
      </c>
      <c r="F13" s="52">
        <v>1350.05</v>
      </c>
      <c r="G13" s="52">
        <v>1195.82</v>
      </c>
      <c r="H13" s="52">
        <v>625.03</v>
      </c>
      <c r="I13" s="52">
        <v>545.06</v>
      </c>
      <c r="J13" s="55">
        <f t="shared" si="5"/>
        <v>1115.85</v>
      </c>
      <c r="L13" s="19" t="s">
        <v>71</v>
      </c>
      <c r="M13" s="56">
        <v>70605.21</v>
      </c>
      <c r="N13" s="58">
        <v>71803.6</v>
      </c>
    </row>
    <row r="14" ht="15.75" customHeight="1">
      <c r="A14" s="76" t="s">
        <v>29</v>
      </c>
      <c r="B14" s="77">
        <f>B13/B15</f>
        <v>0.7288732394</v>
      </c>
      <c r="D14" s="32" t="s">
        <v>72</v>
      </c>
      <c r="E14" s="33">
        <f t="shared" ref="E14:J14" si="6">E11-E12-E13</f>
        <v>15681.41</v>
      </c>
      <c r="F14" s="33">
        <f t="shared" si="6"/>
        <v>15411.59</v>
      </c>
      <c r="G14" s="33">
        <f t="shared" si="6"/>
        <v>13434.11</v>
      </c>
      <c r="H14" s="33">
        <f t="shared" si="6"/>
        <v>8331.12</v>
      </c>
      <c r="I14" s="33">
        <f t="shared" si="6"/>
        <v>8993.85</v>
      </c>
      <c r="J14" s="42">
        <f t="shared" si="6"/>
        <v>14096.84</v>
      </c>
      <c r="L14" s="19" t="s">
        <v>74</v>
      </c>
      <c r="M14" s="56">
        <v>27938.2</v>
      </c>
      <c r="N14" s="58">
        <v>28864.5</v>
      </c>
    </row>
    <row r="15" ht="15.75" customHeight="1">
      <c r="A15" s="19" t="s">
        <v>75</v>
      </c>
      <c r="B15" s="46">
        <v>85.2</v>
      </c>
      <c r="D15" s="19" t="s">
        <v>76</v>
      </c>
      <c r="E15" s="56">
        <v>2976.82</v>
      </c>
      <c r="F15" s="56">
        <v>3057.96</v>
      </c>
      <c r="G15" s="56">
        <v>2631.08</v>
      </c>
      <c r="H15" s="56">
        <v>1648.77</v>
      </c>
      <c r="I15" s="56">
        <v>1791.98</v>
      </c>
      <c r="J15" s="58">
        <f t="shared" ref="J15:J16" si="7">G15+I15-H15</f>
        <v>2774.29</v>
      </c>
      <c r="L15" s="51" t="s">
        <v>77</v>
      </c>
      <c r="M15" s="52">
        <v>6987.93</v>
      </c>
      <c r="N15" s="55">
        <v>5836.07</v>
      </c>
    </row>
    <row r="16" ht="15.75" customHeight="1">
      <c r="A16" s="19" t="s">
        <v>78</v>
      </c>
      <c r="B16" s="46">
        <v>55.9</v>
      </c>
      <c r="D16" s="51" t="s">
        <v>79</v>
      </c>
      <c r="E16" s="52">
        <v>613.31</v>
      </c>
      <c r="F16" s="52">
        <v>692.09</v>
      </c>
      <c r="G16" s="52">
        <v>607.14</v>
      </c>
      <c r="H16" s="52">
        <v>407.26</v>
      </c>
      <c r="I16" s="52">
        <v>291.87</v>
      </c>
      <c r="J16" s="55">
        <f t="shared" si="7"/>
        <v>491.75</v>
      </c>
      <c r="L16" s="32" t="s">
        <v>81</v>
      </c>
      <c r="M16" s="33">
        <f t="shared" ref="M16:N16" si="8">M11+SUM(M13:M15)</f>
        <v>183049.48</v>
      </c>
      <c r="N16" s="42">
        <f t="shared" si="8"/>
        <v>186852.62</v>
      </c>
    </row>
    <row r="17" ht="15.75" customHeight="1">
      <c r="A17" s="19" t="s">
        <v>83</v>
      </c>
      <c r="B17" s="46">
        <v>2.1</v>
      </c>
      <c r="D17" s="82" t="s">
        <v>85</v>
      </c>
      <c r="E17" s="85">
        <f t="shared" ref="E17:J17" si="9">E14-E15-E16</f>
        <v>12091.28</v>
      </c>
      <c r="F17" s="85">
        <f t="shared" si="9"/>
        <v>11661.54</v>
      </c>
      <c r="G17" s="85">
        <f t="shared" si="9"/>
        <v>10195.89</v>
      </c>
      <c r="H17" s="85">
        <f t="shared" si="9"/>
        <v>6275.09</v>
      </c>
      <c r="I17" s="85">
        <f t="shared" si="9"/>
        <v>6910</v>
      </c>
      <c r="J17" s="87">
        <f t="shared" si="9"/>
        <v>10830.8</v>
      </c>
      <c r="L17" s="19"/>
      <c r="M17" s="74"/>
      <c r="N17" s="75"/>
    </row>
    <row r="18" ht="15.75" customHeight="1">
      <c r="A18" s="19"/>
      <c r="B18" s="75"/>
      <c r="D18" s="76" t="s">
        <v>86</v>
      </c>
      <c r="E18" s="90">
        <v>0.19</v>
      </c>
      <c r="F18" s="90">
        <v>0.198</v>
      </c>
      <c r="G18" s="90">
        <v>0.196</v>
      </c>
      <c r="H18" s="90">
        <v>0.198</v>
      </c>
      <c r="I18" s="90">
        <v>0.199</v>
      </c>
      <c r="J18" s="77">
        <v>0.197</v>
      </c>
      <c r="L18" s="19" t="s">
        <v>87</v>
      </c>
      <c r="M18" s="45">
        <v>28416.78</v>
      </c>
      <c r="N18" s="46">
        <v>28268.57</v>
      </c>
    </row>
    <row r="19" ht="15.75" customHeight="1">
      <c r="A19" s="51" t="s">
        <v>89</v>
      </c>
      <c r="B19" s="55">
        <f>J20</f>
        <v>2134.78</v>
      </c>
      <c r="D19" s="19"/>
      <c r="E19" s="74"/>
      <c r="F19" s="74"/>
      <c r="G19" s="74"/>
      <c r="H19" s="74"/>
      <c r="I19" s="74"/>
      <c r="J19" s="75"/>
      <c r="L19" s="51" t="s">
        <v>90</v>
      </c>
      <c r="M19" s="52">
        <v>323.86</v>
      </c>
      <c r="N19" s="55">
        <v>495.61</v>
      </c>
    </row>
    <row r="20" ht="15.75" customHeight="1">
      <c r="A20" s="32" t="s">
        <v>30</v>
      </c>
      <c r="B20" s="42">
        <f>B13*B19</f>
        <v>132569.838</v>
      </c>
      <c r="D20" s="51" t="s">
        <v>92</v>
      </c>
      <c r="E20" s="52">
        <v>2178.61</v>
      </c>
      <c r="F20" s="52">
        <v>2163.56</v>
      </c>
      <c r="G20" s="52">
        <v>2137.79</v>
      </c>
      <c r="H20" s="52">
        <v>2140.71</v>
      </c>
      <c r="I20" s="52">
        <v>2137.0</v>
      </c>
      <c r="J20" s="55">
        <v>2134.78</v>
      </c>
      <c r="L20" s="32" t="s">
        <v>93</v>
      </c>
      <c r="M20" s="33">
        <f t="shared" ref="M20:N20" si="10">M18+M19</f>
        <v>28740.64</v>
      </c>
      <c r="N20" s="42">
        <f t="shared" si="10"/>
        <v>28764.18</v>
      </c>
    </row>
    <row r="21" ht="15.75" customHeight="1">
      <c r="A21" s="19"/>
      <c r="B21" s="75"/>
      <c r="D21" s="82" t="s">
        <v>95</v>
      </c>
      <c r="E21" s="85">
        <f t="shared" ref="E21:J21" si="11">E17/E20</f>
        <v>5.549997475</v>
      </c>
      <c r="F21" s="85">
        <f t="shared" si="11"/>
        <v>5.389977629</v>
      </c>
      <c r="G21" s="85">
        <f t="shared" si="11"/>
        <v>4.769359946</v>
      </c>
      <c r="H21" s="85">
        <f t="shared" si="11"/>
        <v>2.931312508</v>
      </c>
      <c r="I21" s="85">
        <f t="shared" si="11"/>
        <v>3.233504913</v>
      </c>
      <c r="J21" s="87">
        <f t="shared" si="11"/>
        <v>5.073497035</v>
      </c>
      <c r="L21" s="19"/>
      <c r="M21" s="74"/>
      <c r="N21" s="75"/>
    </row>
    <row r="22" ht="15.75" customHeight="1">
      <c r="A22" s="19" t="s">
        <v>99</v>
      </c>
      <c r="B22" s="58">
        <f>N22</f>
        <v>26478.18</v>
      </c>
      <c r="L22" s="19" t="s">
        <v>102</v>
      </c>
      <c r="M22" s="56">
        <v>26146.15</v>
      </c>
      <c r="N22" s="58">
        <v>26478.18</v>
      </c>
    </row>
    <row r="23" ht="15.75" customHeight="1">
      <c r="A23" s="19" t="s">
        <v>104</v>
      </c>
      <c r="B23" s="99" t="s">
        <v>80</v>
      </c>
      <c r="D23" s="20" t="s">
        <v>106</v>
      </c>
      <c r="E23" s="4"/>
      <c r="F23" s="4"/>
      <c r="G23" s="4"/>
      <c r="H23" s="4"/>
      <c r="I23" s="4"/>
      <c r="J23" s="5"/>
      <c r="L23" s="51" t="s">
        <v>108</v>
      </c>
      <c r="M23" s="52">
        <v>2778.41</v>
      </c>
      <c r="N23" s="55">
        <v>2879.14</v>
      </c>
    </row>
    <row r="24" ht="15.75" customHeight="1">
      <c r="A24" s="19" t="s">
        <v>110</v>
      </c>
      <c r="B24" s="58">
        <f>N26</f>
        <v>1783.39</v>
      </c>
      <c r="D24" s="26" t="s">
        <v>13</v>
      </c>
      <c r="E24" s="8"/>
      <c r="F24" s="8"/>
      <c r="G24" s="8"/>
      <c r="H24" s="8"/>
      <c r="I24" s="8"/>
      <c r="J24" s="10"/>
      <c r="L24" s="32" t="s">
        <v>113</v>
      </c>
      <c r="M24" s="33">
        <f t="shared" ref="M24:N24" si="12">M20+M22+M23</f>
        <v>57665.2</v>
      </c>
      <c r="N24" s="42">
        <f t="shared" si="12"/>
        <v>58121.5</v>
      </c>
    </row>
    <row r="25" ht="15.75" customHeight="1">
      <c r="A25" s="51" t="s">
        <v>118</v>
      </c>
      <c r="B25" s="55">
        <f>N7</f>
        <v>13175.58</v>
      </c>
      <c r="D25" s="19"/>
      <c r="E25" s="27" t="s">
        <v>19</v>
      </c>
      <c r="F25" s="27" t="s">
        <v>21</v>
      </c>
      <c r="G25" s="27" t="s">
        <v>23</v>
      </c>
      <c r="H25" s="27" t="s">
        <v>24</v>
      </c>
      <c r="I25" s="27" t="s">
        <v>25</v>
      </c>
      <c r="J25" s="29" t="s">
        <v>27</v>
      </c>
      <c r="L25" s="19"/>
      <c r="M25" s="74"/>
      <c r="N25" s="75"/>
    </row>
    <row r="26" ht="15.75" customHeight="1">
      <c r="A26" s="82" t="s">
        <v>31</v>
      </c>
      <c r="B26" s="87">
        <f>B20+B22+B24-B25</f>
        <v>147655.828</v>
      </c>
      <c r="D26" s="19" t="s">
        <v>124</v>
      </c>
      <c r="E26" s="45">
        <f t="shared" ref="E26:J26" si="13">E9</f>
        <v>42741.72</v>
      </c>
      <c r="F26" s="45">
        <f t="shared" si="13"/>
        <v>44029.3</v>
      </c>
      <c r="G26" s="45">
        <f t="shared" si="13"/>
        <v>44309.25</v>
      </c>
      <c r="H26" s="45">
        <f t="shared" si="13"/>
        <v>23515.21</v>
      </c>
      <c r="I26" s="45">
        <f t="shared" si="13"/>
        <v>24779.56</v>
      </c>
      <c r="J26" s="46">
        <f t="shared" si="13"/>
        <v>45573.6</v>
      </c>
      <c r="L26" s="19" t="s">
        <v>79</v>
      </c>
      <c r="M26" s="56">
        <v>1487.01</v>
      </c>
      <c r="N26" s="58">
        <v>1783.39</v>
      </c>
    </row>
    <row r="27" ht="15.75" customHeight="1">
      <c r="D27" s="51" t="s">
        <v>125</v>
      </c>
      <c r="E27" s="115" t="s">
        <v>80</v>
      </c>
      <c r="F27" s="115" t="s">
        <v>80</v>
      </c>
      <c r="G27" s="115" t="s">
        <v>80</v>
      </c>
      <c r="H27" s="115" t="s">
        <v>80</v>
      </c>
      <c r="I27" s="115" t="s">
        <v>80</v>
      </c>
      <c r="J27" s="117" t="s">
        <v>80</v>
      </c>
      <c r="L27" s="19" t="s">
        <v>126</v>
      </c>
      <c r="M27" s="114" t="s">
        <v>80</v>
      </c>
      <c r="N27" s="99" t="s">
        <v>80</v>
      </c>
    </row>
    <row r="28" ht="15.75" customHeight="1">
      <c r="A28" s="13" t="s">
        <v>127</v>
      </c>
      <c r="B28" s="14"/>
      <c r="D28" s="32" t="s">
        <v>130</v>
      </c>
      <c r="E28" s="33">
        <f t="shared" ref="E28:J28" si="14">E26</f>
        <v>42741.72</v>
      </c>
      <c r="F28" s="33">
        <f t="shared" si="14"/>
        <v>44029.3</v>
      </c>
      <c r="G28" s="33">
        <f t="shared" si="14"/>
        <v>44309.25</v>
      </c>
      <c r="H28" s="33">
        <f t="shared" si="14"/>
        <v>23515.21</v>
      </c>
      <c r="I28" s="33">
        <f t="shared" si="14"/>
        <v>24779.56</v>
      </c>
      <c r="J28" s="42">
        <f t="shared" si="14"/>
        <v>45573.6</v>
      </c>
      <c r="L28" s="51" t="s">
        <v>138</v>
      </c>
      <c r="M28" s="52">
        <v>123897.27</v>
      </c>
      <c r="N28" s="55">
        <v>126947.73</v>
      </c>
    </row>
    <row r="29" ht="15.75" customHeight="1">
      <c r="A29" s="19" t="s">
        <v>140</v>
      </c>
      <c r="B29" s="119">
        <f>(J34*(1-B9))/((M28+N28+M22+N22+M26+N26-M7-N7)/2)</f>
        <v>0.08552566194</v>
      </c>
      <c r="D29" s="76" t="s">
        <v>143</v>
      </c>
      <c r="E29" s="90">
        <f t="shared" ref="E29:J29" si="15">E28/E7</f>
        <v>0.2709421829</v>
      </c>
      <c r="F29" s="90">
        <f t="shared" si="15"/>
        <v>0.2720087153</v>
      </c>
      <c r="G29" s="90">
        <f t="shared" si="15"/>
        <v>0.2637311247</v>
      </c>
      <c r="H29" s="90">
        <f t="shared" si="15"/>
        <v>0.2737942101</v>
      </c>
      <c r="I29" s="90">
        <f t="shared" si="15"/>
        <v>0.277366037</v>
      </c>
      <c r="J29" s="77">
        <f t="shared" si="15"/>
        <v>0.2657948212</v>
      </c>
      <c r="L29" s="32" t="s">
        <v>146</v>
      </c>
      <c r="M29" s="33">
        <f t="shared" ref="M29:N29" si="16">M24+M26+M28</f>
        <v>183049.48</v>
      </c>
      <c r="N29" s="42">
        <f t="shared" si="16"/>
        <v>186852.62</v>
      </c>
    </row>
    <row r="30" ht="15.75" customHeight="1">
      <c r="A30" s="19" t="s">
        <v>147</v>
      </c>
      <c r="B30" s="119">
        <f>J46/((M28+N28)/2)</f>
        <v>0.08887552074</v>
      </c>
      <c r="D30" s="19"/>
      <c r="E30" s="74"/>
      <c r="F30" s="74"/>
      <c r="G30" s="74"/>
      <c r="H30" s="74"/>
      <c r="I30" s="74"/>
      <c r="J30" s="75"/>
      <c r="L30" s="19"/>
      <c r="M30" s="74"/>
      <c r="N30" s="75"/>
    </row>
    <row r="31" ht="15.75" customHeight="1">
      <c r="A31" s="19" t="s">
        <v>148</v>
      </c>
      <c r="B31" s="119">
        <f>J46/((M16+N16)/2)</f>
        <v>0.0602699471</v>
      </c>
      <c r="D31" s="19" t="s">
        <v>149</v>
      </c>
      <c r="E31" s="45">
        <f t="shared" ref="E31:J31" si="17">E11</f>
        <v>17388.61</v>
      </c>
      <c r="F31" s="45">
        <f t="shared" si="17"/>
        <v>16652.03</v>
      </c>
      <c r="G31" s="45">
        <f t="shared" si="17"/>
        <v>16129.75</v>
      </c>
      <c r="H31" s="45">
        <f t="shared" si="17"/>
        <v>9421.66</v>
      </c>
      <c r="I31" s="45">
        <f t="shared" si="17"/>
        <v>9389.98</v>
      </c>
      <c r="J31" s="46">
        <f t="shared" si="17"/>
        <v>16098.07</v>
      </c>
      <c r="L31" s="93" t="s">
        <v>150</v>
      </c>
      <c r="M31" s="121">
        <f t="shared" ref="M31:N31" si="18">M16-M29</f>
        <v>0</v>
      </c>
      <c r="N31" s="122">
        <f t="shared" si="18"/>
        <v>0</v>
      </c>
    </row>
    <row r="32" ht="15.75" customHeight="1">
      <c r="A32" s="51" t="s">
        <v>44</v>
      </c>
      <c r="B32" s="123">
        <f>(B17*4)/B13</f>
        <v>0.1352657005</v>
      </c>
      <c r="D32" s="19" t="s">
        <v>125</v>
      </c>
      <c r="E32" s="124" t="s">
        <v>80</v>
      </c>
      <c r="F32" s="124" t="s">
        <v>80</v>
      </c>
      <c r="G32" s="124" t="s">
        <v>80</v>
      </c>
      <c r="H32" s="124" t="s">
        <v>80</v>
      </c>
      <c r="I32" s="124" t="s">
        <v>80</v>
      </c>
      <c r="J32" s="21" t="s">
        <v>80</v>
      </c>
    </row>
    <row r="33" ht="15.75" customHeight="1">
      <c r="C33" s="128"/>
      <c r="D33" s="51" t="s">
        <v>152</v>
      </c>
      <c r="E33" s="115" t="s">
        <v>80</v>
      </c>
      <c r="F33" s="115" t="s">
        <v>80</v>
      </c>
      <c r="G33" s="115" t="s">
        <v>80</v>
      </c>
      <c r="H33" s="115" t="s">
        <v>80</v>
      </c>
      <c r="I33" s="115" t="s">
        <v>80</v>
      </c>
      <c r="J33" s="117" t="s">
        <v>80</v>
      </c>
      <c r="L33" s="13" t="s">
        <v>153</v>
      </c>
      <c r="M33" s="126"/>
      <c r="N33" s="126"/>
      <c r="O33" s="126"/>
      <c r="P33" s="14"/>
    </row>
    <row r="34" ht="15.75" customHeight="1">
      <c r="A34" s="13" t="s">
        <v>154</v>
      </c>
      <c r="B34" s="14"/>
      <c r="C34" s="127"/>
      <c r="D34" s="32" t="s">
        <v>155</v>
      </c>
      <c r="E34" s="33">
        <f t="shared" ref="E34:J34" si="19">E31</f>
        <v>17388.61</v>
      </c>
      <c r="F34" s="33">
        <f t="shared" si="19"/>
        <v>16652.03</v>
      </c>
      <c r="G34" s="33">
        <f t="shared" si="19"/>
        <v>16129.75</v>
      </c>
      <c r="H34" s="33">
        <f t="shared" si="19"/>
        <v>9421.66</v>
      </c>
      <c r="I34" s="33">
        <f t="shared" si="19"/>
        <v>9389.98</v>
      </c>
      <c r="J34" s="42">
        <f t="shared" si="19"/>
        <v>16098.07</v>
      </c>
      <c r="L34" s="129"/>
      <c r="M34" s="130" t="s">
        <v>38</v>
      </c>
      <c r="N34" s="130" t="s">
        <v>96</v>
      </c>
      <c r="O34" s="130" t="s">
        <v>156</v>
      </c>
      <c r="P34" s="131" t="s">
        <v>157</v>
      </c>
    </row>
    <row r="35" ht="15.75" customHeight="1">
      <c r="A35" s="32" t="s">
        <v>158</v>
      </c>
      <c r="B35" s="75"/>
      <c r="C35" s="127"/>
      <c r="D35" s="76" t="s">
        <v>143</v>
      </c>
      <c r="E35" s="90">
        <f t="shared" ref="E35:J35" si="20">E34/E7</f>
        <v>0.1102273832</v>
      </c>
      <c r="F35" s="90">
        <f t="shared" si="20"/>
        <v>0.102874615</v>
      </c>
      <c r="G35" s="90">
        <f t="shared" si="20"/>
        <v>0.09600517067</v>
      </c>
      <c r="H35" s="90">
        <f t="shared" si="20"/>
        <v>0.1096990398</v>
      </c>
      <c r="I35" s="90">
        <f t="shared" si="20"/>
        <v>0.1051052375</v>
      </c>
      <c r="J35" s="77">
        <f t="shared" si="20"/>
        <v>0.09388733033</v>
      </c>
      <c r="L35" s="32" t="s">
        <v>159</v>
      </c>
      <c r="M35" s="74"/>
      <c r="N35" s="74"/>
      <c r="O35" s="74"/>
      <c r="P35" s="75"/>
    </row>
    <row r="36" ht="15.75" customHeight="1">
      <c r="A36" s="19" t="s">
        <v>160</v>
      </c>
      <c r="B36" s="119">
        <f>N22/(N28+N22+N26)</f>
        <v>0.1705966073</v>
      </c>
      <c r="C36" s="127"/>
      <c r="D36" s="19"/>
      <c r="E36" s="74"/>
      <c r="F36" s="74"/>
      <c r="G36" s="74"/>
      <c r="H36" s="74"/>
      <c r="I36" s="74"/>
      <c r="J36" s="75"/>
      <c r="L36" s="19" t="s">
        <v>161</v>
      </c>
      <c r="M36" s="132">
        <f>((G7/F7)^(1/1))-1</f>
        <v>0.03794430547</v>
      </c>
      <c r="N36" s="132">
        <f>((G38/F38)^(1/1))-1</f>
        <v>0.02158575516</v>
      </c>
      <c r="O36" s="135">
        <f>((G62/F62)^(1/1))-1</f>
        <v>-0.6194276922</v>
      </c>
      <c r="P36" s="137">
        <f>((G49/F49)^(1/1))-1</f>
        <v>-0.03108518939</v>
      </c>
    </row>
    <row r="37" ht="15.75" customHeight="1">
      <c r="A37" s="19" t="s">
        <v>162</v>
      </c>
      <c r="B37" s="133">
        <f>N22/J38</f>
        <v>1.179753714</v>
      </c>
      <c r="C37" s="127"/>
      <c r="D37" s="51" t="s">
        <v>163</v>
      </c>
      <c r="E37" s="134">
        <v>6361.33</v>
      </c>
      <c r="F37" s="134">
        <v>4968.71</v>
      </c>
      <c r="G37" s="134">
        <v>5957.69</v>
      </c>
      <c r="H37" s="134">
        <v>2840.67</v>
      </c>
      <c r="I37" s="134">
        <v>3228.73</v>
      </c>
      <c r="J37" s="136">
        <f>G37+I37-H37</f>
        <v>6345.75</v>
      </c>
      <c r="L37" s="19" t="s">
        <v>164</v>
      </c>
      <c r="M37" s="132">
        <f>((G7/E7)^(1/2))-1</f>
        <v>0.03199791845</v>
      </c>
      <c r="N37" s="135">
        <f>((G38/E38)^(1/2))-1</f>
        <v>-0.03563501559</v>
      </c>
      <c r="O37" s="132">
        <f>((G62/E62)^(1/2))-1</f>
        <v>1.806515334</v>
      </c>
      <c r="P37" s="137">
        <f>((G49/E49)^(1/2))-1</f>
        <v>-0.03346022394</v>
      </c>
    </row>
    <row r="38" ht="15.75" customHeight="1">
      <c r="A38" s="19" t="s">
        <v>165</v>
      </c>
      <c r="B38" s="133">
        <f>(N22-N7)/J38</f>
        <v>0.5927065892</v>
      </c>
      <c r="C38" s="127"/>
      <c r="D38" s="32" t="s">
        <v>166</v>
      </c>
      <c r="E38" s="33">
        <f t="shared" ref="E38:J38" si="21">E34+E37</f>
        <v>23749.94</v>
      </c>
      <c r="F38" s="33">
        <f t="shared" si="21"/>
        <v>21620.74</v>
      </c>
      <c r="G38" s="33">
        <f t="shared" si="21"/>
        <v>22087.44</v>
      </c>
      <c r="H38" s="33">
        <f t="shared" si="21"/>
        <v>12262.33</v>
      </c>
      <c r="I38" s="33">
        <f t="shared" si="21"/>
        <v>12618.71</v>
      </c>
      <c r="J38" s="42">
        <f t="shared" si="21"/>
        <v>22443.82</v>
      </c>
      <c r="L38" s="32" t="s">
        <v>167</v>
      </c>
      <c r="M38" s="74"/>
      <c r="N38" s="74"/>
      <c r="O38" s="74"/>
      <c r="P38" s="75"/>
    </row>
    <row r="39" ht="15.75" customHeight="1">
      <c r="A39" s="19"/>
      <c r="B39" s="75"/>
      <c r="C39" s="127"/>
      <c r="D39" s="76" t="s">
        <v>143</v>
      </c>
      <c r="E39" s="90">
        <f t="shared" ref="E39:J39" si="22">E38/E7</f>
        <v>0.1505522142</v>
      </c>
      <c r="F39" s="90">
        <f t="shared" si="22"/>
        <v>0.1335708201</v>
      </c>
      <c r="G39" s="90">
        <f t="shared" si="22"/>
        <v>0.1314656735</v>
      </c>
      <c r="H39" s="90">
        <f t="shared" si="22"/>
        <v>0.1427737603</v>
      </c>
      <c r="I39" s="90">
        <f t="shared" si="22"/>
        <v>0.1412455098</v>
      </c>
      <c r="J39" s="77">
        <f t="shared" si="22"/>
        <v>0.1308970791</v>
      </c>
      <c r="L39" s="19" t="s">
        <v>161</v>
      </c>
      <c r="M39" s="132">
        <f>((F71/G7)^(1/1))-1</f>
        <v>0.04800821003</v>
      </c>
      <c r="N39" s="132">
        <f>((F73/G38)^(1/1))-1</f>
        <v>0.07998029649</v>
      </c>
      <c r="O39" s="132">
        <f>((F79/G62)^(1/1))-1</f>
        <v>0.4994335066</v>
      </c>
      <c r="P39" s="119">
        <f>((F77/G49)^(1/1))-1</f>
        <v>0.08059822993</v>
      </c>
    </row>
    <row r="40" ht="15.75" customHeight="1">
      <c r="A40" s="32" t="s">
        <v>171</v>
      </c>
      <c r="B40" s="75"/>
      <c r="C40" s="127"/>
      <c r="D40" s="19"/>
      <c r="E40" s="74"/>
      <c r="F40" s="74"/>
      <c r="G40" s="74"/>
      <c r="H40" s="74"/>
      <c r="I40" s="74"/>
      <c r="J40" s="75"/>
      <c r="L40" s="19" t="s">
        <v>164</v>
      </c>
      <c r="M40" s="132">
        <f>((G71/G7)^(1/2))-1</f>
        <v>0.04665266751</v>
      </c>
      <c r="N40" s="132">
        <f>((G73/G38)^(1/2))-1</f>
        <v>0.05236019423</v>
      </c>
      <c r="O40" s="132">
        <f>((G79/G62)^(1/2))-1</f>
        <v>0.3947505816</v>
      </c>
      <c r="P40" s="119">
        <f>((G77/G49)^(1/2))-1</f>
        <v>0.07820259665</v>
      </c>
    </row>
    <row r="41" ht="15.75" customHeight="1">
      <c r="A41" s="19" t="s">
        <v>169</v>
      </c>
      <c r="B41" s="133">
        <f>J38/1376.02</f>
        <v>16.31067862</v>
      </c>
      <c r="C41" s="127"/>
      <c r="D41" s="19" t="s">
        <v>170</v>
      </c>
      <c r="E41" s="45">
        <f t="shared" ref="E41:J41" si="23">E17</f>
        <v>12091.28</v>
      </c>
      <c r="F41" s="45">
        <f t="shared" si="23"/>
        <v>11661.54</v>
      </c>
      <c r="G41" s="45">
        <f t="shared" si="23"/>
        <v>10195.89</v>
      </c>
      <c r="H41" s="45">
        <f t="shared" si="23"/>
        <v>6275.09</v>
      </c>
      <c r="I41" s="45">
        <f t="shared" si="23"/>
        <v>6910</v>
      </c>
      <c r="J41" s="46">
        <f t="shared" si="23"/>
        <v>10830.8</v>
      </c>
      <c r="L41" s="82" t="s">
        <v>183</v>
      </c>
      <c r="M41" s="138"/>
      <c r="N41" s="138"/>
      <c r="O41" s="138"/>
      <c r="P41" s="123">
        <v>0.089</v>
      </c>
    </row>
    <row r="42" ht="15.75" customHeight="1">
      <c r="A42" s="19" t="s">
        <v>173</v>
      </c>
      <c r="B42" s="133">
        <f>(J38-J58)/1376.02</f>
        <v>11.57339283</v>
      </c>
      <c r="C42" s="127"/>
      <c r="D42" s="19" t="s">
        <v>125</v>
      </c>
      <c r="E42" s="124" t="s">
        <v>80</v>
      </c>
      <c r="F42" s="124" t="s">
        <v>80</v>
      </c>
      <c r="G42" s="124" t="s">
        <v>80</v>
      </c>
      <c r="H42" s="124" t="s">
        <v>80</v>
      </c>
      <c r="I42" s="124" t="s">
        <v>80</v>
      </c>
      <c r="J42" s="21" t="s">
        <v>80</v>
      </c>
      <c r="L42" s="139" t="s">
        <v>174</v>
      </c>
    </row>
    <row r="43" ht="15.75" customHeight="1">
      <c r="A43" s="51" t="s">
        <v>175</v>
      </c>
      <c r="B43" s="141">
        <f>J34/1376.02</f>
        <v>11.69900874</v>
      </c>
      <c r="C43" s="128"/>
      <c r="D43" s="19" t="s">
        <v>152</v>
      </c>
      <c r="E43" s="114" t="str">
        <f t="shared" ref="E43:J43" si="24">E33</f>
        <v>-</v>
      </c>
      <c r="F43" s="114" t="str">
        <f t="shared" si="24"/>
        <v>-</v>
      </c>
      <c r="G43" s="114" t="str">
        <f t="shared" si="24"/>
        <v>-</v>
      </c>
      <c r="H43" s="114" t="str">
        <f t="shared" si="24"/>
        <v>-</v>
      </c>
      <c r="I43" s="114" t="str">
        <f t="shared" si="24"/>
        <v>-</v>
      </c>
      <c r="J43" s="99" t="str">
        <f t="shared" si="24"/>
        <v>-</v>
      </c>
      <c r="L43" s="142" t="s">
        <v>184</v>
      </c>
    </row>
    <row r="44" ht="15.75" customHeight="1">
      <c r="A44" s="139" t="s">
        <v>174</v>
      </c>
      <c r="C44" s="125" t="s">
        <v>151</v>
      </c>
      <c r="D44" s="19" t="s">
        <v>178</v>
      </c>
      <c r="E44" s="56">
        <v>-178.68</v>
      </c>
      <c r="F44" s="56">
        <v>-281.82</v>
      </c>
      <c r="G44" s="56">
        <v>1027.6</v>
      </c>
      <c r="H44" s="56">
        <v>289.98</v>
      </c>
      <c r="I44" s="56">
        <v>-311.13</v>
      </c>
      <c r="J44" s="58">
        <f t="shared" ref="J44:J45" si="25">G44+I44-H44</f>
        <v>426.49</v>
      </c>
    </row>
    <row r="45" ht="15.75" customHeight="1">
      <c r="A45" s="142" t="s">
        <v>179</v>
      </c>
      <c r="C45" s="125" t="s">
        <v>180</v>
      </c>
      <c r="D45" s="51" t="s">
        <v>181</v>
      </c>
      <c r="E45" s="52">
        <v>43.39</v>
      </c>
      <c r="F45" s="52">
        <v>68.26</v>
      </c>
      <c r="G45" s="52">
        <v>-263.49</v>
      </c>
      <c r="H45" s="52">
        <v>-73.07</v>
      </c>
      <c r="I45" s="52">
        <v>80.12</v>
      </c>
      <c r="J45" s="55">
        <f t="shared" si="25"/>
        <v>-110.3</v>
      </c>
    </row>
    <row r="46" ht="15.75" customHeight="1">
      <c r="D46" s="32" t="s">
        <v>182</v>
      </c>
      <c r="E46" s="33">
        <f t="shared" ref="E46:J46" si="26">E41+E44+E45</f>
        <v>11955.99</v>
      </c>
      <c r="F46" s="33">
        <f t="shared" si="26"/>
        <v>11447.98</v>
      </c>
      <c r="G46" s="33">
        <f t="shared" si="26"/>
        <v>10960</v>
      </c>
      <c r="H46" s="33">
        <f t="shared" si="26"/>
        <v>6492</v>
      </c>
      <c r="I46" s="33">
        <f t="shared" si="26"/>
        <v>6678.99</v>
      </c>
      <c r="J46" s="42">
        <f t="shared" si="26"/>
        <v>11146.99</v>
      </c>
    </row>
    <row r="47" ht="15.75" customHeight="1">
      <c r="D47" s="76" t="s">
        <v>143</v>
      </c>
      <c r="E47" s="90">
        <f t="shared" ref="E47:J47" si="27">E46/E7</f>
        <v>0.07578969749</v>
      </c>
      <c r="F47" s="90">
        <f t="shared" si="27"/>
        <v>0.07072450238</v>
      </c>
      <c r="G47" s="90">
        <f t="shared" si="27"/>
        <v>0.06523453064</v>
      </c>
      <c r="H47" s="90">
        <f t="shared" si="27"/>
        <v>0.07558818365</v>
      </c>
      <c r="I47" s="90">
        <f t="shared" si="27"/>
        <v>0.07476020508</v>
      </c>
      <c r="J47" s="77">
        <f t="shared" si="27"/>
        <v>0.06501159035</v>
      </c>
    </row>
    <row r="48" ht="15.75" customHeight="1">
      <c r="D48" s="19"/>
      <c r="E48" s="74"/>
      <c r="F48" s="74"/>
      <c r="G48" s="74"/>
      <c r="H48" s="74"/>
      <c r="I48" s="74"/>
      <c r="J48" s="75"/>
    </row>
    <row r="49" ht="15.75" customHeight="1">
      <c r="D49" s="143" t="s">
        <v>185</v>
      </c>
      <c r="E49" s="144">
        <f t="shared" ref="E49:J49" si="28">E46/E20</f>
        <v>5.487898247</v>
      </c>
      <c r="F49" s="144">
        <f t="shared" si="28"/>
        <v>5.291269944</v>
      </c>
      <c r="G49" s="144">
        <f t="shared" si="28"/>
        <v>5.126789816</v>
      </c>
      <c r="H49" s="144">
        <f t="shared" si="28"/>
        <v>3.032638704</v>
      </c>
      <c r="I49" s="144">
        <f t="shared" si="28"/>
        <v>3.125404773</v>
      </c>
      <c r="J49" s="145">
        <f t="shared" si="28"/>
        <v>5.221610658</v>
      </c>
    </row>
    <row r="50" ht="15.75" customHeight="1">
      <c r="D50" s="139" t="s">
        <v>177</v>
      </c>
    </row>
    <row r="51" ht="15.75" customHeight="1">
      <c r="D51" s="142" t="s">
        <v>192</v>
      </c>
    </row>
    <row r="52" ht="15.75" customHeight="1">
      <c r="D52" s="142" t="s">
        <v>194</v>
      </c>
    </row>
    <row r="53" ht="15.75" customHeight="1"/>
    <row r="54" ht="15.75" customHeight="1">
      <c r="D54" s="20" t="s">
        <v>188</v>
      </c>
      <c r="E54" s="4"/>
      <c r="F54" s="4"/>
      <c r="G54" s="4"/>
      <c r="H54" s="4"/>
      <c r="I54" s="4"/>
      <c r="J54" s="5"/>
    </row>
    <row r="55" ht="15.75" customHeight="1">
      <c r="D55" s="26" t="s">
        <v>13</v>
      </c>
      <c r="E55" s="8"/>
      <c r="F55" s="8"/>
      <c r="G55" s="8"/>
      <c r="H55" s="8"/>
      <c r="I55" s="8"/>
      <c r="J55" s="10"/>
    </row>
    <row r="56" ht="15.75" customHeight="1">
      <c r="D56" s="19"/>
      <c r="E56" s="27" t="s">
        <v>19</v>
      </c>
      <c r="F56" s="27" t="s">
        <v>21</v>
      </c>
      <c r="G56" s="27" t="s">
        <v>23</v>
      </c>
      <c r="H56" s="27" t="s">
        <v>24</v>
      </c>
      <c r="I56" s="27" t="s">
        <v>25</v>
      </c>
      <c r="J56" s="29" t="s">
        <v>27</v>
      </c>
    </row>
    <row r="57" ht="15.75" customHeight="1">
      <c r="D57" s="19" t="s">
        <v>189</v>
      </c>
      <c r="E57" s="45">
        <v>9086.94</v>
      </c>
      <c r="F57" s="45">
        <v>18981.22</v>
      </c>
      <c r="G57" s="45">
        <v>11273.62</v>
      </c>
      <c r="H57" s="45">
        <v>3302.79</v>
      </c>
      <c r="I57" s="45">
        <v>9303.81</v>
      </c>
      <c r="J57" s="46">
        <f t="shared" ref="J57:J58" si="29">G57+I57-H57</f>
        <v>17274.64</v>
      </c>
    </row>
    <row r="58" ht="15.75" customHeight="1">
      <c r="D58" s="19" t="s">
        <v>190</v>
      </c>
      <c r="E58" s="56">
        <v>8454.22</v>
      </c>
      <c r="F58" s="56">
        <v>5976.57</v>
      </c>
      <c r="G58" s="56">
        <v>6383.36</v>
      </c>
      <c r="H58" s="56">
        <v>2826.56</v>
      </c>
      <c r="I58" s="56">
        <v>2961.8</v>
      </c>
      <c r="J58" s="58">
        <f t="shared" si="29"/>
        <v>6518.6</v>
      </c>
    </row>
    <row r="59" ht="15.75" customHeight="1">
      <c r="D59" s="93" t="s">
        <v>191</v>
      </c>
      <c r="E59" s="147">
        <f t="shared" ref="E59:J59" si="30">E58/E7</f>
        <v>0.05359177921</v>
      </c>
      <c r="F59" s="147">
        <f t="shared" si="30"/>
        <v>0.03692266576</v>
      </c>
      <c r="G59" s="147">
        <f t="shared" si="30"/>
        <v>0.03799411437</v>
      </c>
      <c r="H59" s="147">
        <f t="shared" si="30"/>
        <v>0.03291043382</v>
      </c>
      <c r="I59" s="147">
        <f t="shared" si="30"/>
        <v>0.03315243404</v>
      </c>
      <c r="J59" s="148">
        <f t="shared" si="30"/>
        <v>0.03801784633</v>
      </c>
    </row>
    <row r="60" ht="15.75" customHeight="1">
      <c r="D60" s="32" t="s">
        <v>193</v>
      </c>
      <c r="E60" s="33">
        <f t="shared" ref="E60:J60" si="31">E57-E58</f>
        <v>632.72</v>
      </c>
      <c r="F60" s="33">
        <f t="shared" si="31"/>
        <v>13004.65</v>
      </c>
      <c r="G60" s="33">
        <f t="shared" si="31"/>
        <v>4890.26</v>
      </c>
      <c r="H60" s="33">
        <f t="shared" si="31"/>
        <v>476.23</v>
      </c>
      <c r="I60" s="33">
        <f t="shared" si="31"/>
        <v>6342.01</v>
      </c>
      <c r="J60" s="42">
        <f t="shared" si="31"/>
        <v>10756.04</v>
      </c>
    </row>
    <row r="61" ht="15.75" customHeight="1">
      <c r="D61" s="76" t="s">
        <v>143</v>
      </c>
      <c r="E61" s="90">
        <f t="shared" ref="E61:J61" si="32">E60/E7</f>
        <v>0.004010847901</v>
      </c>
      <c r="F61" s="90">
        <f t="shared" si="32"/>
        <v>0.0803414576</v>
      </c>
      <c r="G61" s="90">
        <f t="shared" si="32"/>
        <v>0.02910709998</v>
      </c>
      <c r="H61" s="90">
        <f t="shared" si="32"/>
        <v>0.00554487996</v>
      </c>
      <c r="I61" s="90">
        <f t="shared" si="32"/>
        <v>0.07098827341</v>
      </c>
      <c r="J61" s="77">
        <f t="shared" si="32"/>
        <v>0.06273148772</v>
      </c>
    </row>
    <row r="62" ht="15.75" customHeight="1">
      <c r="D62" s="32" t="s">
        <v>195</v>
      </c>
      <c r="E62" s="33">
        <f t="shared" ref="E62:J62" si="33">E60/E20</f>
        <v>0.2904237105</v>
      </c>
      <c r="F62" s="33">
        <f t="shared" si="33"/>
        <v>6.010764666</v>
      </c>
      <c r="G62" s="33">
        <f t="shared" si="33"/>
        <v>2.287530581</v>
      </c>
      <c r="H62" s="33">
        <f t="shared" si="33"/>
        <v>0.2224635752</v>
      </c>
      <c r="I62" s="33">
        <f t="shared" si="33"/>
        <v>2.967716425</v>
      </c>
      <c r="J62" s="42">
        <f t="shared" si="33"/>
        <v>5.038477033</v>
      </c>
    </row>
    <row r="63" ht="15.75" customHeight="1">
      <c r="D63" s="19"/>
      <c r="E63" s="74"/>
      <c r="F63" s="74"/>
      <c r="G63" s="74"/>
      <c r="H63" s="74"/>
      <c r="I63" s="74"/>
      <c r="J63" s="75"/>
    </row>
    <row r="64" ht="15.75" customHeight="1">
      <c r="D64" s="19" t="s">
        <v>163</v>
      </c>
      <c r="E64" s="45">
        <v>6403.09</v>
      </c>
      <c r="F64" s="45">
        <v>4987.52</v>
      </c>
      <c r="G64" s="45">
        <v>5958.17</v>
      </c>
      <c r="H64" s="45">
        <f t="shared" ref="H64:I64" si="34">H37</f>
        <v>2840.67</v>
      </c>
      <c r="I64" s="45">
        <f t="shared" si="34"/>
        <v>3228.73</v>
      </c>
      <c r="J64" s="46">
        <f>G64+I64-H64</f>
        <v>6346.23</v>
      </c>
    </row>
    <row r="65" ht="15.75" customHeight="1">
      <c r="D65" s="93" t="s">
        <v>191</v>
      </c>
      <c r="E65" s="147">
        <f t="shared" ref="E65:J65" si="35">E64/E7</f>
        <v>0.04058955001</v>
      </c>
      <c r="F65" s="147">
        <f t="shared" si="35"/>
        <v>0.03081241146</v>
      </c>
      <c r="G65" s="147">
        <f t="shared" si="35"/>
        <v>0.0354633598</v>
      </c>
      <c r="H65" s="147">
        <f t="shared" si="35"/>
        <v>0.03307472053</v>
      </c>
      <c r="I65" s="147">
        <f t="shared" si="35"/>
        <v>0.03614027225</v>
      </c>
      <c r="J65" s="148">
        <f t="shared" si="35"/>
        <v>0.03701254823</v>
      </c>
    </row>
    <row r="66" ht="15.75" customHeight="1"/>
    <row r="67" ht="15.75" customHeight="1">
      <c r="D67" s="20" t="s">
        <v>197</v>
      </c>
      <c r="E67" s="4"/>
      <c r="F67" s="4"/>
      <c r="G67" s="4"/>
      <c r="H67" s="5"/>
    </row>
    <row r="68" ht="15.75" customHeight="1">
      <c r="D68" s="26" t="s">
        <v>13</v>
      </c>
      <c r="E68" s="8"/>
      <c r="F68" s="8"/>
      <c r="G68" s="8"/>
      <c r="H68" s="10"/>
    </row>
    <row r="69" ht="15.75" customHeight="1">
      <c r="D69" s="19"/>
      <c r="E69" s="27" t="s">
        <v>32</v>
      </c>
      <c r="F69" s="27" t="s">
        <v>37</v>
      </c>
      <c r="G69" s="27" t="s">
        <v>39</v>
      </c>
      <c r="H69" s="29" t="s">
        <v>198</v>
      </c>
    </row>
    <row r="70" ht="15.75" customHeight="1">
      <c r="D70" s="150" t="s">
        <v>199</v>
      </c>
      <c r="E70" s="151">
        <f t="shared" ref="E70:H70" si="36">$B$26/E71</f>
        <v>0.861159847</v>
      </c>
      <c r="F70" s="151">
        <f t="shared" si="36"/>
        <v>0.8385962118</v>
      </c>
      <c r="G70" s="151">
        <f t="shared" si="36"/>
        <v>0.8022549619</v>
      </c>
      <c r="H70" s="152">
        <f t="shared" si="36"/>
        <v>0.7669755294</v>
      </c>
    </row>
    <row r="71" ht="15.75" customHeight="1">
      <c r="D71" s="153" t="s">
        <v>200</v>
      </c>
      <c r="E71" s="45">
        <f>J7</f>
        <v>171461.58</v>
      </c>
      <c r="F71" s="45">
        <v>176075.0</v>
      </c>
      <c r="G71" s="45">
        <v>184051.0</v>
      </c>
      <c r="H71" s="46">
        <v>192517.0</v>
      </c>
    </row>
    <row r="72" ht="15.75" customHeight="1">
      <c r="D72" s="150" t="s">
        <v>12</v>
      </c>
      <c r="E72" s="151">
        <f t="shared" ref="E72:H72" si="37">$B$26/E73</f>
        <v>6.578908047</v>
      </c>
      <c r="F72" s="151">
        <f t="shared" si="37"/>
        <v>6.18998189</v>
      </c>
      <c r="G72" s="151">
        <f t="shared" si="37"/>
        <v>6.036377417</v>
      </c>
      <c r="H72" s="152">
        <f t="shared" si="37"/>
        <v>5.663604311</v>
      </c>
    </row>
    <row r="73" ht="15.75" customHeight="1">
      <c r="D73" s="153" t="s">
        <v>200</v>
      </c>
      <c r="E73" s="45">
        <f>J38</f>
        <v>22443.82</v>
      </c>
      <c r="F73" s="45">
        <v>23854.0</v>
      </c>
      <c r="G73" s="45">
        <v>24461.0</v>
      </c>
      <c r="H73" s="46">
        <v>26071.0</v>
      </c>
    </row>
    <row r="74" ht="15.75" customHeight="1">
      <c r="D74" s="150" t="s">
        <v>202</v>
      </c>
      <c r="E74" s="151">
        <f t="shared" ref="E74:H74" si="38">$B$26/E75</f>
        <v>9.172268974</v>
      </c>
      <c r="F74" s="151">
        <f t="shared" si="38"/>
        <v>8.632319673</v>
      </c>
      <c r="G74" s="151">
        <f t="shared" si="38"/>
        <v>8.117863984</v>
      </c>
      <c r="H74" s="152">
        <f t="shared" si="38"/>
        <v>7.57325886</v>
      </c>
    </row>
    <row r="75" ht="15.75" customHeight="1">
      <c r="D75" s="153" t="s">
        <v>200</v>
      </c>
      <c r="E75" s="45">
        <f>J34</f>
        <v>16098.07</v>
      </c>
      <c r="F75" s="45">
        <v>17105.0</v>
      </c>
      <c r="G75" s="45">
        <v>18189.0</v>
      </c>
      <c r="H75" s="46">
        <v>19497.0</v>
      </c>
    </row>
    <row r="76" ht="15.75" customHeight="1">
      <c r="D76" s="150" t="s">
        <v>16</v>
      </c>
      <c r="E76" s="151">
        <f t="shared" ref="E76:H76" si="39">$B$13/E77</f>
        <v>11.89288211</v>
      </c>
      <c r="F76" s="151">
        <f t="shared" si="39"/>
        <v>11.20938628</v>
      </c>
      <c r="G76" s="151">
        <f t="shared" si="39"/>
        <v>10.41946309</v>
      </c>
      <c r="H76" s="152">
        <f t="shared" si="39"/>
        <v>9.73354232</v>
      </c>
    </row>
    <row r="77" ht="15.75" customHeight="1">
      <c r="D77" s="153" t="s">
        <v>200</v>
      </c>
      <c r="E77" s="45">
        <f>J49</f>
        <v>5.221610658</v>
      </c>
      <c r="F77" s="45">
        <v>5.54</v>
      </c>
      <c r="G77" s="45">
        <v>5.96</v>
      </c>
      <c r="H77" s="46">
        <v>6.38</v>
      </c>
    </row>
    <row r="78" ht="15.75" customHeight="1">
      <c r="D78" s="150" t="s">
        <v>20</v>
      </c>
      <c r="E78" s="156">
        <f t="shared" ref="E78:H78" si="40">E79/$B$13</f>
        <v>0.08113489586</v>
      </c>
      <c r="F78" s="156">
        <f t="shared" si="40"/>
        <v>0.05523349436</v>
      </c>
      <c r="G78" s="156">
        <f t="shared" si="40"/>
        <v>0.07165861514</v>
      </c>
      <c r="H78" s="157">
        <f t="shared" si="40"/>
        <v>0.0768115942</v>
      </c>
    </row>
    <row r="79" ht="15.75" customHeight="1">
      <c r="D79" s="158" t="s">
        <v>200</v>
      </c>
      <c r="E79" s="161">
        <f>J62</f>
        <v>5.038477033</v>
      </c>
      <c r="F79" s="161">
        <v>3.43</v>
      </c>
      <c r="G79" s="161">
        <v>4.45</v>
      </c>
      <c r="H79" s="162">
        <v>4.77</v>
      </c>
    </row>
    <row r="80" ht="15.75" customHeight="1"/>
    <row r="81" ht="15.75" customHeight="1"/>
    <row r="82" ht="15.75" customHeight="1">
      <c r="F82" s="163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P1"/>
    <mergeCell ref="A2:P2"/>
    <mergeCell ref="A4:B4"/>
    <mergeCell ref="D4:J4"/>
    <mergeCell ref="L4:N4"/>
    <mergeCell ref="D5:J5"/>
    <mergeCell ref="L5:N5"/>
    <mergeCell ref="A11:B11"/>
    <mergeCell ref="A12:B12"/>
    <mergeCell ref="D23:J23"/>
    <mergeCell ref="D24:J24"/>
    <mergeCell ref="A28:B28"/>
    <mergeCell ref="L33:P33"/>
    <mergeCell ref="A34:B34"/>
    <mergeCell ref="D54:J54"/>
    <mergeCell ref="D55:J55"/>
    <mergeCell ref="D67:H67"/>
    <mergeCell ref="D68:H68"/>
    <mergeCell ref="L42:P42"/>
    <mergeCell ref="L43:P43"/>
    <mergeCell ref="A44:B44"/>
    <mergeCell ref="A45:B45"/>
    <mergeCell ref="D50:J50"/>
    <mergeCell ref="D51:J51"/>
    <mergeCell ref="D52:J5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75"/>
    <col customWidth="1" min="2" max="2" width="30.13"/>
    <col customWidth="1" min="3" max="3" width="5.25"/>
    <col customWidth="1" min="4" max="4" width="29.63"/>
    <col customWidth="1" min="5" max="6" width="12.63"/>
    <col customWidth="1" min="8" max="8" width="22.13"/>
    <col customWidth="1" min="9" max="9" width="22.5"/>
    <col customWidth="1" min="10" max="10" width="19.13"/>
    <col customWidth="1" min="11" max="11" width="4.5"/>
    <col customWidth="1" min="12" max="12" width="31.0"/>
  </cols>
  <sheetData>
    <row r="1" ht="15.75" customHeight="1">
      <c r="A1" s="2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2" ht="15.75" customHeight="1">
      <c r="A2" s="6" t="s">
        <v>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10"/>
    </row>
    <row r="3" ht="15.75" customHeight="1"/>
    <row r="4" ht="15.75" customHeight="1">
      <c r="A4" s="12" t="s">
        <v>6</v>
      </c>
      <c r="B4" s="14"/>
      <c r="D4" s="16" t="s">
        <v>8</v>
      </c>
      <c r="E4" s="4"/>
      <c r="F4" s="4"/>
      <c r="G4" s="4"/>
      <c r="H4" s="4"/>
      <c r="I4" s="4"/>
      <c r="J4" s="5"/>
      <c r="L4" s="16" t="s">
        <v>9</v>
      </c>
      <c r="M4" s="4"/>
      <c r="N4" s="5"/>
    </row>
    <row r="5" ht="15.75" customHeight="1">
      <c r="A5" s="19" t="s">
        <v>10</v>
      </c>
      <c r="B5" s="21" t="s">
        <v>11</v>
      </c>
      <c r="D5" s="23" t="s">
        <v>13</v>
      </c>
      <c r="E5" s="8"/>
      <c r="F5" s="8"/>
      <c r="G5" s="8"/>
      <c r="H5" s="8"/>
      <c r="I5" s="8"/>
      <c r="J5" s="10"/>
      <c r="L5" s="23" t="s">
        <v>15</v>
      </c>
      <c r="M5" s="8"/>
      <c r="N5" s="10"/>
    </row>
    <row r="6" ht="15.75" customHeight="1">
      <c r="A6" s="19" t="s">
        <v>17</v>
      </c>
      <c r="B6" s="21" t="s">
        <v>18</v>
      </c>
      <c r="D6" s="19"/>
      <c r="E6" s="27" t="s">
        <v>19</v>
      </c>
      <c r="F6" s="27" t="s">
        <v>21</v>
      </c>
      <c r="G6" s="27" t="s">
        <v>23</v>
      </c>
      <c r="H6" s="27" t="s">
        <v>24</v>
      </c>
      <c r="I6" s="27" t="s">
        <v>25</v>
      </c>
      <c r="J6" s="29" t="s">
        <v>27</v>
      </c>
      <c r="L6" s="19"/>
      <c r="M6" s="27" t="s">
        <v>23</v>
      </c>
      <c r="N6" s="29" t="s">
        <v>33</v>
      </c>
    </row>
    <row r="7" ht="15.75" customHeight="1">
      <c r="A7" s="19" t="s">
        <v>35</v>
      </c>
      <c r="B7" s="21" t="s">
        <v>36</v>
      </c>
      <c r="D7" s="32" t="s">
        <v>38</v>
      </c>
      <c r="E7" s="33">
        <v>67124.34</v>
      </c>
      <c r="F7" s="33">
        <v>75491.91</v>
      </c>
      <c r="G7" s="33">
        <v>83295.68</v>
      </c>
      <c r="H7" s="33">
        <v>39714.92</v>
      </c>
      <c r="I7" s="33">
        <v>45828.68</v>
      </c>
      <c r="J7" s="42">
        <f t="shared" ref="J7:J8" si="1">G7+I7-H7</f>
        <v>89409.44</v>
      </c>
      <c r="L7" s="19" t="s">
        <v>46</v>
      </c>
      <c r="M7" s="45">
        <v>2884.54</v>
      </c>
      <c r="N7" s="46">
        <v>1880.65</v>
      </c>
    </row>
    <row r="8" ht="15.75" customHeight="1">
      <c r="A8" s="19" t="s">
        <v>49</v>
      </c>
      <c r="B8" s="48">
        <v>46387.0</v>
      </c>
      <c r="D8" s="51" t="s">
        <v>50</v>
      </c>
      <c r="E8" s="52">
        <v>50987.31</v>
      </c>
      <c r="F8" s="52">
        <v>55787.09</v>
      </c>
      <c r="G8" s="52">
        <v>62351.29</v>
      </c>
      <c r="H8" s="52">
        <v>29515.72</v>
      </c>
      <c r="I8" s="52">
        <v>33966.43</v>
      </c>
      <c r="J8" s="55">
        <f t="shared" si="1"/>
        <v>66802</v>
      </c>
      <c r="L8" s="19" t="s">
        <v>51</v>
      </c>
      <c r="M8" s="56">
        <v>13378.06</v>
      </c>
      <c r="N8" s="58">
        <v>14974.04</v>
      </c>
    </row>
    <row r="9" ht="15.75" customHeight="1">
      <c r="A9" s="51" t="s">
        <v>52</v>
      </c>
      <c r="B9" s="61">
        <v>0.25</v>
      </c>
      <c r="D9" s="32" t="s">
        <v>54</v>
      </c>
      <c r="E9" s="33">
        <f t="shared" ref="E9:J9" si="2">E7-E8</f>
        <v>16137.03</v>
      </c>
      <c r="F9" s="33">
        <f t="shared" si="2"/>
        <v>19704.82</v>
      </c>
      <c r="G9" s="33">
        <f t="shared" si="2"/>
        <v>20944.39</v>
      </c>
      <c r="H9" s="33">
        <f t="shared" si="2"/>
        <v>10199.2</v>
      </c>
      <c r="I9" s="33">
        <f t="shared" si="2"/>
        <v>11862.25</v>
      </c>
      <c r="J9" s="42">
        <f t="shared" si="2"/>
        <v>22607.44</v>
      </c>
      <c r="L9" s="19" t="s">
        <v>58</v>
      </c>
      <c r="M9" s="56">
        <v>21251.68</v>
      </c>
      <c r="N9" s="58">
        <v>26089.6</v>
      </c>
    </row>
    <row r="10" ht="15.75" customHeight="1">
      <c r="D10" s="19" t="s">
        <v>59</v>
      </c>
      <c r="E10" s="56">
        <v>9238.58</v>
      </c>
      <c r="F10" s="56">
        <v>11710.49</v>
      </c>
      <c r="G10" s="56">
        <v>12377.98</v>
      </c>
      <c r="H10" s="56">
        <v>5505.9</v>
      </c>
      <c r="I10" s="56">
        <v>6462.95</v>
      </c>
      <c r="J10" s="58">
        <f t="shared" ref="J10:J11" si="3">G10+I10-H10</f>
        <v>13335.03</v>
      </c>
      <c r="L10" s="51" t="s">
        <v>62</v>
      </c>
      <c r="M10" s="52">
        <v>5517.57</v>
      </c>
      <c r="N10" s="55">
        <v>7740.45</v>
      </c>
    </row>
    <row r="11" ht="15.75" customHeight="1">
      <c r="A11" s="16" t="s">
        <v>63</v>
      </c>
      <c r="B11" s="5"/>
      <c r="D11" s="51" t="s">
        <v>64</v>
      </c>
      <c r="E11" s="52">
        <v>-33.55</v>
      </c>
      <c r="F11" s="52">
        <v>387.76</v>
      </c>
      <c r="G11" s="52">
        <v>-86.2</v>
      </c>
      <c r="H11" s="52">
        <v>-202.98</v>
      </c>
      <c r="I11" s="52">
        <v>-208.39</v>
      </c>
      <c r="J11" s="55">
        <f t="shared" si="3"/>
        <v>-91.61</v>
      </c>
      <c r="L11" s="32" t="s">
        <v>66</v>
      </c>
      <c r="M11" s="33">
        <f t="shared" ref="M11:N11" si="4">SUM(M7:M10)</f>
        <v>43031.85</v>
      </c>
      <c r="N11" s="42">
        <f t="shared" si="4"/>
        <v>50684.74</v>
      </c>
    </row>
    <row r="12" ht="15.75" customHeight="1">
      <c r="A12" s="23" t="s">
        <v>68</v>
      </c>
      <c r="B12" s="10"/>
      <c r="D12" s="32" t="s">
        <v>65</v>
      </c>
      <c r="E12" s="33">
        <f t="shared" ref="E12:J12" si="5">E9-E10-E11</f>
        <v>6932</v>
      </c>
      <c r="F12" s="33">
        <f t="shared" si="5"/>
        <v>7606.57</v>
      </c>
      <c r="G12" s="33">
        <f t="shared" si="5"/>
        <v>8652.61</v>
      </c>
      <c r="H12" s="33">
        <f t="shared" si="5"/>
        <v>4896.28</v>
      </c>
      <c r="I12" s="33">
        <f t="shared" si="5"/>
        <v>5607.69</v>
      </c>
      <c r="J12" s="42">
        <f t="shared" si="5"/>
        <v>9364.02</v>
      </c>
      <c r="L12" s="19"/>
      <c r="M12" s="74"/>
      <c r="N12" s="75"/>
    </row>
    <row r="13" ht="15.75" customHeight="1">
      <c r="A13" s="19" t="s">
        <v>69</v>
      </c>
      <c r="B13" s="46">
        <v>32.85</v>
      </c>
      <c r="D13" s="51" t="s">
        <v>70</v>
      </c>
      <c r="E13" s="52">
        <v>405.57</v>
      </c>
      <c r="F13" s="52">
        <v>211.63</v>
      </c>
      <c r="G13" s="52">
        <v>349.05</v>
      </c>
      <c r="H13" s="52">
        <v>151.24</v>
      </c>
      <c r="I13" s="52">
        <v>300.71</v>
      </c>
      <c r="J13" s="55">
        <f>G13+I13-H13</f>
        <v>498.52</v>
      </c>
      <c r="L13" s="19" t="s">
        <v>71</v>
      </c>
      <c r="M13" s="56">
        <v>12387.31</v>
      </c>
      <c r="N13" s="58">
        <v>13244.53</v>
      </c>
    </row>
    <row r="14" ht="15.75" customHeight="1">
      <c r="A14" s="76" t="s">
        <v>29</v>
      </c>
      <c r="B14" s="77">
        <f>B13/B15</f>
        <v>0.7953995157</v>
      </c>
      <c r="D14" s="32" t="s">
        <v>72</v>
      </c>
      <c r="E14" s="33">
        <f t="shared" ref="E14:J14" si="6">E12-E13</f>
        <v>6526.43</v>
      </c>
      <c r="F14" s="33">
        <f t="shared" si="6"/>
        <v>7394.94</v>
      </c>
      <c r="G14" s="33">
        <f t="shared" si="6"/>
        <v>8303.56</v>
      </c>
      <c r="H14" s="33">
        <f t="shared" si="6"/>
        <v>4745.04</v>
      </c>
      <c r="I14" s="33">
        <f t="shared" si="6"/>
        <v>5306.98</v>
      </c>
      <c r="J14" s="42">
        <f t="shared" si="6"/>
        <v>8865.5</v>
      </c>
      <c r="L14" s="19" t="s">
        <v>74</v>
      </c>
      <c r="M14" s="56">
        <v>6264.81</v>
      </c>
      <c r="N14" s="58">
        <v>6250.18</v>
      </c>
    </row>
    <row r="15" ht="15.75" customHeight="1">
      <c r="A15" s="19" t="s">
        <v>75</v>
      </c>
      <c r="B15" s="46">
        <v>41.3</v>
      </c>
      <c r="D15" s="19" t="s">
        <v>76</v>
      </c>
      <c r="E15" s="56">
        <v>947.27</v>
      </c>
      <c r="F15" s="56">
        <v>1057.17</v>
      </c>
      <c r="G15" s="56">
        <v>1237.83</v>
      </c>
      <c r="H15" s="56">
        <v>845.95</v>
      </c>
      <c r="I15" s="56">
        <v>1164.19</v>
      </c>
      <c r="J15" s="58">
        <f>G15+I15-H15</f>
        <v>1556.07</v>
      </c>
      <c r="L15" s="51" t="s">
        <v>77</v>
      </c>
      <c r="M15" s="52">
        <v>3291.69</v>
      </c>
      <c r="N15" s="55">
        <v>4967.52</v>
      </c>
    </row>
    <row r="16" ht="15.75" customHeight="1">
      <c r="A16" s="19" t="s">
        <v>78</v>
      </c>
      <c r="B16" s="46">
        <v>24.85</v>
      </c>
      <c r="D16" s="51" t="s">
        <v>79</v>
      </c>
      <c r="E16" s="80" t="s">
        <v>80</v>
      </c>
      <c r="F16" s="80" t="s">
        <v>80</v>
      </c>
      <c r="G16" s="80" t="s">
        <v>80</v>
      </c>
      <c r="H16" s="80" t="s">
        <v>80</v>
      </c>
      <c r="I16" s="80" t="s">
        <v>80</v>
      </c>
      <c r="J16" s="81" t="s">
        <v>80</v>
      </c>
      <c r="L16" s="32" t="s">
        <v>81</v>
      </c>
      <c r="M16" s="33">
        <f t="shared" ref="M16:N16" si="7">M11+SUM(M13:M15)</f>
        <v>64975.66</v>
      </c>
      <c r="N16" s="42">
        <f t="shared" si="7"/>
        <v>75146.97</v>
      </c>
    </row>
    <row r="17" ht="15.75" customHeight="1">
      <c r="A17" s="19" t="s">
        <v>83</v>
      </c>
      <c r="B17" s="46">
        <v>0.6</v>
      </c>
      <c r="D17" s="82" t="s">
        <v>85</v>
      </c>
      <c r="E17" s="85">
        <f t="shared" ref="E17:J17" si="8">E14-E15</f>
        <v>5579.16</v>
      </c>
      <c r="F17" s="85">
        <f t="shared" si="8"/>
        <v>6337.77</v>
      </c>
      <c r="G17" s="85">
        <f t="shared" si="8"/>
        <v>7065.73</v>
      </c>
      <c r="H17" s="85">
        <f t="shared" si="8"/>
        <v>3899.09</v>
      </c>
      <c r="I17" s="85">
        <f t="shared" si="8"/>
        <v>4142.79</v>
      </c>
      <c r="J17" s="87">
        <f t="shared" si="8"/>
        <v>7309.43</v>
      </c>
      <c r="L17" s="19"/>
      <c r="M17" s="74"/>
      <c r="N17" s="75"/>
    </row>
    <row r="18" ht="15.75" customHeight="1">
      <c r="A18" s="19"/>
      <c r="B18" s="75"/>
      <c r="D18" s="76" t="s">
        <v>86</v>
      </c>
      <c r="E18" s="90">
        <v>0.145</v>
      </c>
      <c r="F18" s="90">
        <v>0.143</v>
      </c>
      <c r="G18" s="90">
        <v>0.149</v>
      </c>
      <c r="H18" s="90">
        <v>0.178</v>
      </c>
      <c r="I18" s="90">
        <v>0.219</v>
      </c>
      <c r="J18" s="77">
        <v>0.176</v>
      </c>
      <c r="L18" s="19" t="s">
        <v>87</v>
      </c>
      <c r="M18" s="45">
        <v>15933.87</v>
      </c>
      <c r="N18" s="46">
        <v>19569.89</v>
      </c>
    </row>
    <row r="19" ht="15.75" customHeight="1">
      <c r="A19" s="51" t="s">
        <v>89</v>
      </c>
      <c r="B19" s="55">
        <f>J20</f>
        <v>3542.26</v>
      </c>
      <c r="D19" s="19"/>
      <c r="E19" s="74"/>
      <c r="F19" s="74"/>
      <c r="G19" s="74"/>
      <c r="H19" s="74"/>
      <c r="I19" s="74"/>
      <c r="J19" s="75"/>
      <c r="L19" s="51" t="s">
        <v>90</v>
      </c>
      <c r="M19" s="52">
        <v>252.6</v>
      </c>
      <c r="N19" s="55">
        <v>666.94</v>
      </c>
    </row>
    <row r="20" ht="15.75" customHeight="1">
      <c r="A20" s="32" t="s">
        <v>30</v>
      </c>
      <c r="B20" s="42">
        <f>B13*B19</f>
        <v>116363.241</v>
      </c>
      <c r="D20" s="51" t="s">
        <v>92</v>
      </c>
      <c r="E20" s="52">
        <v>3546.47</v>
      </c>
      <c r="F20" s="52">
        <v>3546.47</v>
      </c>
      <c r="G20" s="52">
        <v>3546.47</v>
      </c>
      <c r="H20" s="52">
        <v>3542.26</v>
      </c>
      <c r="I20" s="52">
        <v>3542.26</v>
      </c>
      <c r="J20" s="55">
        <v>3542.26</v>
      </c>
      <c r="L20" s="32" t="s">
        <v>93</v>
      </c>
      <c r="M20" s="33">
        <f t="shared" ref="M20:N20" si="9">M18+M19</f>
        <v>16186.47</v>
      </c>
      <c r="N20" s="42">
        <f t="shared" si="9"/>
        <v>20236.83</v>
      </c>
    </row>
    <row r="21" ht="15.75" customHeight="1">
      <c r="A21" s="19"/>
      <c r="B21" s="75"/>
      <c r="D21" s="82" t="s">
        <v>95</v>
      </c>
      <c r="E21" s="85">
        <f t="shared" ref="E21:J21" si="10">E17/E20</f>
        <v>1.573158662</v>
      </c>
      <c r="F21" s="85">
        <f t="shared" si="10"/>
        <v>1.78706432</v>
      </c>
      <c r="G21" s="85">
        <f t="shared" si="10"/>
        <v>1.992327582</v>
      </c>
      <c r="H21" s="85">
        <f t="shared" si="10"/>
        <v>1.100735124</v>
      </c>
      <c r="I21" s="85">
        <f t="shared" si="10"/>
        <v>1.16953301</v>
      </c>
      <c r="J21" s="87">
        <f t="shared" si="10"/>
        <v>2.063493363</v>
      </c>
      <c r="L21" s="19"/>
      <c r="M21" s="74"/>
      <c r="N21" s="75"/>
    </row>
    <row r="22" ht="15.75" customHeight="1">
      <c r="A22" s="19" t="s">
        <v>99</v>
      </c>
      <c r="B22" s="58">
        <f>N22</f>
        <v>14728.92</v>
      </c>
      <c r="L22" s="19" t="s">
        <v>102</v>
      </c>
      <c r="M22" s="56">
        <v>9666.52</v>
      </c>
      <c r="N22" s="58">
        <v>14728.92</v>
      </c>
    </row>
    <row r="23" ht="15.75" customHeight="1">
      <c r="A23" s="19" t="s">
        <v>104</v>
      </c>
      <c r="B23" s="99" t="s">
        <v>80</v>
      </c>
      <c r="D23" s="16" t="s">
        <v>106</v>
      </c>
      <c r="E23" s="4"/>
      <c r="F23" s="4"/>
      <c r="G23" s="4"/>
      <c r="H23" s="4"/>
      <c r="I23" s="4"/>
      <c r="J23" s="5"/>
      <c r="L23" s="51" t="s">
        <v>108</v>
      </c>
      <c r="M23" s="52">
        <v>133.2</v>
      </c>
      <c r="N23" s="55">
        <v>261.41</v>
      </c>
    </row>
    <row r="24" ht="15.75" customHeight="1">
      <c r="A24" s="19" t="s">
        <v>110</v>
      </c>
      <c r="B24" s="58" t="str">
        <f>N26</f>
        <v>-</v>
      </c>
      <c r="D24" s="23" t="s">
        <v>13</v>
      </c>
      <c r="E24" s="8"/>
      <c r="F24" s="8"/>
      <c r="G24" s="8"/>
      <c r="H24" s="8"/>
      <c r="I24" s="8"/>
      <c r="J24" s="10"/>
      <c r="L24" s="32" t="s">
        <v>113</v>
      </c>
      <c r="M24" s="33">
        <f t="shared" ref="M24:N24" si="11">M20+M22+M23</f>
        <v>25986.19</v>
      </c>
      <c r="N24" s="42">
        <f t="shared" si="11"/>
        <v>35227.16</v>
      </c>
    </row>
    <row r="25" ht="15.75" customHeight="1">
      <c r="A25" s="51" t="s">
        <v>118</v>
      </c>
      <c r="B25" s="55">
        <f>N7</f>
        <v>1880.65</v>
      </c>
      <c r="D25" s="19"/>
      <c r="E25" s="27" t="s">
        <v>19</v>
      </c>
      <c r="F25" s="27" t="s">
        <v>21</v>
      </c>
      <c r="G25" s="27" t="s">
        <v>23</v>
      </c>
      <c r="H25" s="27" t="s">
        <v>24</v>
      </c>
      <c r="I25" s="27" t="s">
        <v>25</v>
      </c>
      <c r="J25" s="29" t="s">
        <v>27</v>
      </c>
      <c r="L25" s="19"/>
      <c r="M25" s="74"/>
      <c r="N25" s="75"/>
    </row>
    <row r="26" ht="15.75" customHeight="1">
      <c r="A26" s="82" t="s">
        <v>31</v>
      </c>
      <c r="B26" s="87">
        <f>B20+B22-B25</f>
        <v>129211.511</v>
      </c>
      <c r="D26" s="19" t="s">
        <v>124</v>
      </c>
      <c r="E26" s="45">
        <f t="shared" ref="E26:J26" si="12">E9</f>
        <v>16137.03</v>
      </c>
      <c r="F26" s="45">
        <f t="shared" si="12"/>
        <v>19704.82</v>
      </c>
      <c r="G26" s="45">
        <f t="shared" si="12"/>
        <v>20944.39</v>
      </c>
      <c r="H26" s="45">
        <f t="shared" si="12"/>
        <v>10199.2</v>
      </c>
      <c r="I26" s="45">
        <f t="shared" si="12"/>
        <v>11862.25</v>
      </c>
      <c r="J26" s="46">
        <f t="shared" si="12"/>
        <v>22607.44</v>
      </c>
      <c r="L26" s="19" t="s">
        <v>79</v>
      </c>
      <c r="M26" s="114" t="s">
        <v>80</v>
      </c>
      <c r="N26" s="99" t="s">
        <v>80</v>
      </c>
    </row>
    <row r="27" ht="15.75" customHeight="1">
      <c r="D27" s="51" t="s">
        <v>125</v>
      </c>
      <c r="E27" s="115" t="s">
        <v>80</v>
      </c>
      <c r="F27" s="115" t="s">
        <v>80</v>
      </c>
      <c r="G27" s="115" t="s">
        <v>80</v>
      </c>
      <c r="H27" s="115" t="s">
        <v>80</v>
      </c>
      <c r="I27" s="115" t="s">
        <v>80</v>
      </c>
      <c r="J27" s="117" t="s">
        <v>80</v>
      </c>
      <c r="L27" s="19" t="s">
        <v>126</v>
      </c>
      <c r="M27" s="114" t="s">
        <v>80</v>
      </c>
      <c r="N27" s="99" t="s">
        <v>80</v>
      </c>
    </row>
    <row r="28" ht="15.75" customHeight="1">
      <c r="A28" s="12" t="s">
        <v>127</v>
      </c>
      <c r="B28" s="14"/>
      <c r="D28" s="32" t="s">
        <v>130</v>
      </c>
      <c r="E28" s="33">
        <f t="shared" ref="E28:J28" si="13">E26</f>
        <v>16137.03</v>
      </c>
      <c r="F28" s="33">
        <f t="shared" si="13"/>
        <v>19704.82</v>
      </c>
      <c r="G28" s="33">
        <f t="shared" si="13"/>
        <v>20944.39</v>
      </c>
      <c r="H28" s="33">
        <f t="shared" si="13"/>
        <v>10199.2</v>
      </c>
      <c r="I28" s="33">
        <f t="shared" si="13"/>
        <v>11862.25</v>
      </c>
      <c r="J28" s="42">
        <f t="shared" si="13"/>
        <v>22607.44</v>
      </c>
      <c r="L28" s="51" t="s">
        <v>138</v>
      </c>
      <c r="M28" s="52">
        <v>38989.47</v>
      </c>
      <c r="N28" s="55">
        <v>39919.81</v>
      </c>
    </row>
    <row r="29" ht="15.75" customHeight="1">
      <c r="A29" s="19" t="s">
        <v>140</v>
      </c>
      <c r="B29" s="119">
        <f>(J34*(1-B9))/((M28+N28+M22+N22-M7-N7)/2)</f>
        <v>0.1451288128</v>
      </c>
      <c r="D29" s="76" t="s">
        <v>143</v>
      </c>
      <c r="E29" s="90">
        <f t="shared" ref="E29:J29" si="14">E28/E7</f>
        <v>0.2404050453</v>
      </c>
      <c r="F29" s="90">
        <f t="shared" si="14"/>
        <v>0.2610189622</v>
      </c>
      <c r="G29" s="90">
        <f t="shared" si="14"/>
        <v>0.2514462935</v>
      </c>
      <c r="H29" s="90">
        <f t="shared" si="14"/>
        <v>0.2568102869</v>
      </c>
      <c r="I29" s="90">
        <f t="shared" si="14"/>
        <v>0.2588390065</v>
      </c>
      <c r="J29" s="77">
        <f t="shared" si="14"/>
        <v>0.2528529426</v>
      </c>
      <c r="L29" s="32" t="s">
        <v>146</v>
      </c>
      <c r="M29" s="33">
        <f t="shared" ref="M29:N29" si="15">M24+M28</f>
        <v>64975.66</v>
      </c>
      <c r="N29" s="42">
        <f t="shared" si="15"/>
        <v>75146.97</v>
      </c>
    </row>
    <row r="30" ht="15.75" customHeight="1">
      <c r="A30" s="19" t="s">
        <v>147</v>
      </c>
      <c r="B30" s="119">
        <f>J46/((M28+N28)/2)</f>
        <v>0.1889676347</v>
      </c>
      <c r="D30" s="19"/>
      <c r="E30" s="74"/>
      <c r="F30" s="74"/>
      <c r="G30" s="74"/>
      <c r="H30" s="74"/>
      <c r="I30" s="74"/>
      <c r="J30" s="75"/>
      <c r="L30" s="19"/>
      <c r="M30" s="74"/>
      <c r="N30" s="75"/>
    </row>
    <row r="31" ht="15.75" customHeight="1">
      <c r="A31" s="19" t="s">
        <v>148</v>
      </c>
      <c r="B31" s="119">
        <f>J46/((M16+N16)/2)</f>
        <v>0.1064160728</v>
      </c>
      <c r="D31" s="19" t="s">
        <v>149</v>
      </c>
      <c r="E31" s="45">
        <f t="shared" ref="E31:J31" si="16">E12</f>
        <v>6932</v>
      </c>
      <c r="F31" s="45">
        <f t="shared" si="16"/>
        <v>7606.57</v>
      </c>
      <c r="G31" s="45">
        <f t="shared" si="16"/>
        <v>8652.61</v>
      </c>
      <c r="H31" s="45">
        <f t="shared" si="16"/>
        <v>4896.28</v>
      </c>
      <c r="I31" s="45">
        <f t="shared" si="16"/>
        <v>5607.69</v>
      </c>
      <c r="J31" s="46">
        <f t="shared" si="16"/>
        <v>9364.02</v>
      </c>
      <c r="L31" s="93" t="s">
        <v>150</v>
      </c>
      <c r="M31" s="121">
        <f t="shared" ref="M31:N31" si="17">M16-M29</f>
        <v>0</v>
      </c>
      <c r="N31" s="122">
        <f t="shared" si="17"/>
        <v>0</v>
      </c>
    </row>
    <row r="32" ht="15.75" customHeight="1">
      <c r="A32" s="51" t="s">
        <v>44</v>
      </c>
      <c r="B32" s="123">
        <f>(B17*4)/B13</f>
        <v>0.07305936073</v>
      </c>
      <c r="D32" s="19" t="s">
        <v>125</v>
      </c>
      <c r="E32" s="124" t="s">
        <v>80</v>
      </c>
      <c r="F32" s="124" t="s">
        <v>80</v>
      </c>
      <c r="G32" s="124" t="s">
        <v>80</v>
      </c>
      <c r="H32" s="124" t="s">
        <v>80</v>
      </c>
      <c r="I32" s="124" t="s">
        <v>80</v>
      </c>
      <c r="J32" s="21" t="s">
        <v>80</v>
      </c>
    </row>
    <row r="33" ht="15.75" customHeight="1">
      <c r="C33" s="125" t="s">
        <v>151</v>
      </c>
      <c r="D33" s="51" t="s">
        <v>152</v>
      </c>
      <c r="E33" s="115" t="s">
        <v>80</v>
      </c>
      <c r="F33" s="52">
        <v>190.0</v>
      </c>
      <c r="G33" s="115" t="s">
        <v>80</v>
      </c>
      <c r="H33" s="115" t="s">
        <v>80</v>
      </c>
      <c r="I33" s="52">
        <v>169.93</v>
      </c>
      <c r="J33" s="55">
        <f>I33</f>
        <v>169.93</v>
      </c>
      <c r="L33" s="12" t="s">
        <v>153</v>
      </c>
      <c r="M33" s="126"/>
      <c r="N33" s="126"/>
      <c r="O33" s="126"/>
      <c r="P33" s="14"/>
    </row>
    <row r="34" ht="15.75" customHeight="1">
      <c r="A34" s="12" t="s">
        <v>154</v>
      </c>
      <c r="B34" s="14"/>
      <c r="C34" s="127"/>
      <c r="D34" s="32" t="s">
        <v>155</v>
      </c>
      <c r="E34" s="33">
        <f>E31</f>
        <v>6932</v>
      </c>
      <c r="F34" s="33">
        <f>F31+F33</f>
        <v>7796.57</v>
      </c>
      <c r="G34" s="33">
        <f t="shared" ref="G34:H34" si="18">G31</f>
        <v>8652.61</v>
      </c>
      <c r="H34" s="33">
        <f t="shared" si="18"/>
        <v>4896.28</v>
      </c>
      <c r="I34" s="33">
        <f t="shared" ref="I34:J34" si="19">I31+I33</f>
        <v>5777.62</v>
      </c>
      <c r="J34" s="42">
        <f t="shared" si="19"/>
        <v>9533.95</v>
      </c>
      <c r="L34" s="129"/>
      <c r="M34" s="130" t="s">
        <v>38</v>
      </c>
      <c r="N34" s="130" t="s">
        <v>96</v>
      </c>
      <c r="O34" s="130" t="s">
        <v>156</v>
      </c>
      <c r="P34" s="131" t="s">
        <v>157</v>
      </c>
    </row>
    <row r="35" ht="15.75" customHeight="1">
      <c r="A35" s="32" t="s">
        <v>158</v>
      </c>
      <c r="B35" s="75"/>
      <c r="C35" s="127"/>
      <c r="D35" s="76" t="s">
        <v>143</v>
      </c>
      <c r="E35" s="90">
        <f t="shared" ref="E35:J35" si="20">E34/E7</f>
        <v>0.103271034</v>
      </c>
      <c r="F35" s="90">
        <f t="shared" si="20"/>
        <v>0.1032768942</v>
      </c>
      <c r="G35" s="90">
        <f t="shared" si="20"/>
        <v>0.1038782564</v>
      </c>
      <c r="H35" s="90">
        <f t="shared" si="20"/>
        <v>0.1232856569</v>
      </c>
      <c r="I35" s="90">
        <f t="shared" si="20"/>
        <v>0.1260699632</v>
      </c>
      <c r="J35" s="77">
        <f t="shared" si="20"/>
        <v>0.1066324764</v>
      </c>
      <c r="L35" s="32" t="s">
        <v>159</v>
      </c>
      <c r="M35" s="74"/>
      <c r="N35" s="74"/>
      <c r="O35" s="74"/>
      <c r="P35" s="75"/>
    </row>
    <row r="36" ht="15.75" customHeight="1">
      <c r="A36" s="19" t="s">
        <v>160</v>
      </c>
      <c r="B36" s="119">
        <f>N22/(N28+N22)</f>
        <v>0.2695198955</v>
      </c>
      <c r="C36" s="127"/>
      <c r="D36" s="19"/>
      <c r="E36" s="74"/>
      <c r="F36" s="74"/>
      <c r="G36" s="74"/>
      <c r="H36" s="74"/>
      <c r="I36" s="74"/>
      <c r="J36" s="75"/>
      <c r="L36" s="19" t="s">
        <v>161</v>
      </c>
      <c r="M36" s="132">
        <f>((G7/F7)^(1/1))-1</f>
        <v>0.1033722686</v>
      </c>
      <c r="N36" s="132">
        <f>((G38/F38)^(1/1))-1</f>
        <v>0.1176491936</v>
      </c>
      <c r="O36" s="132">
        <f>((G62/F62)^(1/1))-1</f>
        <v>-0.9211396174</v>
      </c>
      <c r="P36" s="119">
        <f>((G49/F49)^(1/1))-1</f>
        <v>0.08693505215</v>
      </c>
    </row>
    <row r="37" ht="15.75" customHeight="1">
      <c r="A37" s="19" t="s">
        <v>162</v>
      </c>
      <c r="B37" s="133">
        <f>N22/J38</f>
        <v>1.239978212</v>
      </c>
      <c r="C37" s="127"/>
      <c r="D37" s="51" t="s">
        <v>163</v>
      </c>
      <c r="E37" s="134">
        <v>1700.21</v>
      </c>
      <c r="F37" s="134">
        <v>1847.44</v>
      </c>
      <c r="G37" s="134">
        <v>2126.01</v>
      </c>
      <c r="H37" s="134">
        <v>948.78</v>
      </c>
      <c r="I37" s="134">
        <v>1167.19</v>
      </c>
      <c r="J37" s="136">
        <f>G37+I37-H37</f>
        <v>2344.42</v>
      </c>
      <c r="L37" s="19" t="s">
        <v>164</v>
      </c>
      <c r="M37" s="132">
        <f>((G7/E7)^(1/2))-1</f>
        <v>0.1139641764</v>
      </c>
      <c r="N37" s="132">
        <f>((G38/E38)^(1/2))-1</f>
        <v>0.1174306566</v>
      </c>
      <c r="O37" s="132">
        <f>((G62/E62)^(1/2))-1</f>
        <v>-0.7434090508</v>
      </c>
      <c r="P37" s="119">
        <f>((G49/E49)^(1/2))-1</f>
        <v>0.1253668313</v>
      </c>
    </row>
    <row r="38" ht="15.75" customHeight="1">
      <c r="A38" s="19" t="s">
        <v>165</v>
      </c>
      <c r="B38" s="133">
        <f>(N22-N7)/J38</f>
        <v>1.081652617</v>
      </c>
      <c r="C38" s="127"/>
      <c r="D38" s="32" t="s">
        <v>166</v>
      </c>
      <c r="E38" s="33">
        <f t="shared" ref="E38:J38" si="21">E34+E37</f>
        <v>8632.21</v>
      </c>
      <c r="F38" s="33">
        <f t="shared" si="21"/>
        <v>9644.01</v>
      </c>
      <c r="G38" s="33">
        <f t="shared" si="21"/>
        <v>10778.62</v>
      </c>
      <c r="H38" s="33">
        <f t="shared" si="21"/>
        <v>5845.06</v>
      </c>
      <c r="I38" s="33">
        <f t="shared" si="21"/>
        <v>6944.81</v>
      </c>
      <c r="J38" s="42">
        <f t="shared" si="21"/>
        <v>11878.37</v>
      </c>
      <c r="L38" s="32" t="s">
        <v>167</v>
      </c>
      <c r="M38" s="74"/>
      <c r="N38" s="74"/>
      <c r="O38" s="74"/>
      <c r="P38" s="75"/>
    </row>
    <row r="39" ht="15.75" customHeight="1">
      <c r="A39" s="19"/>
      <c r="B39" s="75"/>
      <c r="C39" s="127"/>
      <c r="D39" s="76" t="s">
        <v>143</v>
      </c>
      <c r="E39" s="90">
        <f t="shared" ref="E39:J39" si="22">E38/E7</f>
        <v>0.1286002961</v>
      </c>
      <c r="F39" s="90">
        <f t="shared" si="22"/>
        <v>0.1277489204</v>
      </c>
      <c r="G39" s="90">
        <f t="shared" si="22"/>
        <v>0.129401909</v>
      </c>
      <c r="H39" s="90">
        <f t="shared" si="22"/>
        <v>0.1471754192</v>
      </c>
      <c r="I39" s="90">
        <f t="shared" si="22"/>
        <v>0.1515385126</v>
      </c>
      <c r="J39" s="77">
        <f t="shared" si="22"/>
        <v>0.132853645</v>
      </c>
      <c r="L39" s="19" t="s">
        <v>161</v>
      </c>
      <c r="M39" s="132">
        <f>((F73/G7)^(1/1))-1</f>
        <v>0.1239118283</v>
      </c>
      <c r="N39" s="132">
        <f>((F75/G38)^(1/1))-1</f>
        <v>0.1573837838</v>
      </c>
      <c r="O39" s="132">
        <f>((F81/G62)^(1/1))-1</f>
        <v>9.7821948</v>
      </c>
      <c r="P39" s="119">
        <f>((F79/G49)^(1/1))-1</f>
        <v>0.06910129597</v>
      </c>
    </row>
    <row r="40" ht="15.75" customHeight="1">
      <c r="A40" s="32" t="s">
        <v>168</v>
      </c>
      <c r="B40" s="75"/>
      <c r="C40" s="127"/>
      <c r="D40" s="19"/>
      <c r="E40" s="74"/>
      <c r="F40" s="74"/>
      <c r="G40" s="74"/>
      <c r="H40" s="74"/>
      <c r="I40" s="74"/>
      <c r="J40" s="75"/>
      <c r="L40" s="19" t="s">
        <v>164</v>
      </c>
      <c r="M40" s="132">
        <f>((G73/G7)^(1/2))-1</f>
        <v>0.1029332011</v>
      </c>
      <c r="N40" s="132">
        <f>((G75/G38)^(1/2))-1</f>
        <v>0.1257547007</v>
      </c>
      <c r="O40" s="132">
        <f>((G81/G62)^(1/2))-1</f>
        <v>2.972013089</v>
      </c>
      <c r="P40" s="119">
        <f>((G79/G49)^(1/2))-1</f>
        <v>0.07210511357</v>
      </c>
    </row>
    <row r="41" ht="15.75" customHeight="1">
      <c r="A41" s="19" t="s">
        <v>169</v>
      </c>
      <c r="B41" s="133">
        <f>J38/536.62</f>
        <v>22.13553352</v>
      </c>
      <c r="C41" s="127"/>
      <c r="D41" s="19" t="s">
        <v>170</v>
      </c>
      <c r="E41" s="45">
        <f t="shared" ref="E41:J41" si="23">E17</f>
        <v>5579.16</v>
      </c>
      <c r="F41" s="45">
        <f t="shared" si="23"/>
        <v>6337.77</v>
      </c>
      <c r="G41" s="45">
        <f t="shared" si="23"/>
        <v>7065.73</v>
      </c>
      <c r="H41" s="45">
        <f t="shared" si="23"/>
        <v>3899.09</v>
      </c>
      <c r="I41" s="45">
        <f t="shared" si="23"/>
        <v>4142.79</v>
      </c>
      <c r="J41" s="46">
        <f t="shared" si="23"/>
        <v>7309.43</v>
      </c>
      <c r="L41" s="82" t="s">
        <v>172</v>
      </c>
      <c r="M41" s="138"/>
      <c r="N41" s="138"/>
      <c r="O41" s="138"/>
      <c r="P41" s="123">
        <v>0.089</v>
      </c>
    </row>
    <row r="42" ht="15.75" customHeight="1">
      <c r="A42" s="19" t="s">
        <v>173</v>
      </c>
      <c r="B42" s="133">
        <f>(J38-J58)/536.62</f>
        <v>10.52275353</v>
      </c>
      <c r="C42" s="127"/>
      <c r="D42" s="19" t="s">
        <v>125</v>
      </c>
      <c r="E42" s="124" t="s">
        <v>80</v>
      </c>
      <c r="F42" s="124" t="s">
        <v>80</v>
      </c>
      <c r="G42" s="124" t="s">
        <v>80</v>
      </c>
      <c r="H42" s="124" t="s">
        <v>80</v>
      </c>
      <c r="I42" s="124" t="s">
        <v>80</v>
      </c>
      <c r="J42" s="21" t="s">
        <v>80</v>
      </c>
      <c r="L42" s="139" t="s">
        <v>174</v>
      </c>
    </row>
    <row r="43" ht="15.75" customHeight="1">
      <c r="A43" s="51" t="s">
        <v>175</v>
      </c>
      <c r="B43" s="141">
        <f>J34/536.62</f>
        <v>17.76666915</v>
      </c>
      <c r="C43" s="125" t="s">
        <v>151</v>
      </c>
      <c r="D43" s="19" t="s">
        <v>152</v>
      </c>
      <c r="E43" s="114" t="str">
        <f t="shared" ref="E43:J43" si="24">E33</f>
        <v>-</v>
      </c>
      <c r="F43" s="56">
        <f t="shared" si="24"/>
        <v>190</v>
      </c>
      <c r="G43" s="114" t="str">
        <f t="shared" si="24"/>
        <v>-</v>
      </c>
      <c r="H43" s="114" t="str">
        <f t="shared" si="24"/>
        <v>-</v>
      </c>
      <c r="I43" s="56">
        <f t="shared" si="24"/>
        <v>169.93</v>
      </c>
      <c r="J43" s="58">
        <f t="shared" si="24"/>
        <v>169.93</v>
      </c>
      <c r="L43" s="142" t="s">
        <v>176</v>
      </c>
    </row>
    <row r="44" ht="15.75" customHeight="1">
      <c r="A44" s="139" t="s">
        <v>177</v>
      </c>
      <c r="C44" s="128"/>
      <c r="D44" s="19" t="s">
        <v>178</v>
      </c>
      <c r="E44" s="114" t="s">
        <v>80</v>
      </c>
      <c r="F44" s="114" t="s">
        <v>80</v>
      </c>
      <c r="G44" s="114" t="s">
        <v>80</v>
      </c>
      <c r="H44" s="114" t="s">
        <v>80</v>
      </c>
      <c r="I44" s="114" t="s">
        <v>80</v>
      </c>
      <c r="J44" s="99" t="s">
        <v>80</v>
      </c>
    </row>
    <row r="45" ht="15.75" customHeight="1">
      <c r="A45" s="142" t="s">
        <v>179</v>
      </c>
      <c r="C45" s="125" t="s">
        <v>180</v>
      </c>
      <c r="D45" s="51" t="s">
        <v>181</v>
      </c>
      <c r="E45" s="80" t="s">
        <v>80</v>
      </c>
      <c r="F45" s="52">
        <v>-27.17</v>
      </c>
      <c r="G45" s="80" t="s">
        <v>80</v>
      </c>
      <c r="H45" s="80" t="s">
        <v>80</v>
      </c>
      <c r="I45" s="52">
        <v>-23.71</v>
      </c>
      <c r="J45" s="55">
        <f>I45</f>
        <v>-23.71</v>
      </c>
    </row>
    <row r="46" ht="15.75" customHeight="1">
      <c r="D46" s="32" t="s">
        <v>182</v>
      </c>
      <c r="E46" s="33">
        <f>E41</f>
        <v>5579.16</v>
      </c>
      <c r="F46" s="33">
        <f>F41+F43+F45</f>
        <v>6500.6</v>
      </c>
      <c r="G46" s="33">
        <f t="shared" ref="G46:H46" si="25">G41</f>
        <v>7065.73</v>
      </c>
      <c r="H46" s="33">
        <f t="shared" si="25"/>
        <v>3899.09</v>
      </c>
      <c r="I46" s="33">
        <f t="shared" ref="I46:J46" si="26">I41+I43+I45</f>
        <v>4289.01</v>
      </c>
      <c r="J46" s="42">
        <f t="shared" si="26"/>
        <v>7455.65</v>
      </c>
    </row>
    <row r="47" ht="15.75" customHeight="1">
      <c r="D47" s="76" t="s">
        <v>143</v>
      </c>
      <c r="E47" s="90">
        <f t="shared" ref="E47:J47" si="27">E46/E7</f>
        <v>0.08311679489</v>
      </c>
      <c r="F47" s="90">
        <f t="shared" si="27"/>
        <v>0.08610988913</v>
      </c>
      <c r="G47" s="90">
        <f t="shared" si="27"/>
        <v>0.08482708827</v>
      </c>
      <c r="H47" s="90">
        <f t="shared" si="27"/>
        <v>0.09817695717</v>
      </c>
      <c r="I47" s="90">
        <f t="shared" si="27"/>
        <v>0.09358790172</v>
      </c>
      <c r="J47" s="77">
        <f t="shared" si="27"/>
        <v>0.08338772729</v>
      </c>
    </row>
    <row r="48" ht="15.75" customHeight="1">
      <c r="D48" s="19"/>
      <c r="E48" s="74"/>
      <c r="F48" s="74"/>
      <c r="G48" s="74"/>
      <c r="H48" s="74"/>
      <c r="I48" s="74"/>
      <c r="J48" s="75"/>
    </row>
    <row r="49" ht="15.75" customHeight="1">
      <c r="D49" s="143" t="s">
        <v>185</v>
      </c>
      <c r="E49" s="144">
        <f t="shared" ref="E49:J49" si="28">E46/E20</f>
        <v>1.573158662</v>
      </c>
      <c r="F49" s="144">
        <f t="shared" si="28"/>
        <v>1.832977581</v>
      </c>
      <c r="G49" s="144">
        <f t="shared" si="28"/>
        <v>1.992327582</v>
      </c>
      <c r="H49" s="144">
        <f t="shared" si="28"/>
        <v>1.100735124</v>
      </c>
      <c r="I49" s="144">
        <f t="shared" si="28"/>
        <v>1.210811742</v>
      </c>
      <c r="J49" s="145">
        <f t="shared" si="28"/>
        <v>2.104772095</v>
      </c>
    </row>
    <row r="50" ht="15.75" customHeight="1">
      <c r="D50" s="139" t="s">
        <v>177</v>
      </c>
    </row>
    <row r="51" ht="15.75" customHeight="1">
      <c r="D51" s="142" t="s">
        <v>186</v>
      </c>
    </row>
    <row r="52" ht="15.75" customHeight="1">
      <c r="D52" s="142" t="s">
        <v>187</v>
      </c>
    </row>
    <row r="53" ht="15.75" customHeight="1">
      <c r="D53" s="146"/>
    </row>
    <row r="54" ht="15.75" customHeight="1">
      <c r="D54" s="16" t="s">
        <v>188</v>
      </c>
      <c r="E54" s="4"/>
      <c r="F54" s="4"/>
      <c r="G54" s="4"/>
      <c r="H54" s="4"/>
      <c r="I54" s="4"/>
      <c r="J54" s="5"/>
    </row>
    <row r="55" ht="15.75" customHeight="1">
      <c r="D55" s="23" t="s">
        <v>13</v>
      </c>
      <c r="E55" s="8"/>
      <c r="F55" s="8"/>
      <c r="G55" s="8"/>
      <c r="H55" s="8"/>
      <c r="I55" s="8"/>
      <c r="J55" s="10"/>
    </row>
    <row r="56" ht="15.75" customHeight="1">
      <c r="D56" s="19"/>
      <c r="E56" s="27" t="s">
        <v>19</v>
      </c>
      <c r="F56" s="27" t="s">
        <v>21</v>
      </c>
      <c r="G56" s="27" t="s">
        <v>23</v>
      </c>
      <c r="H56" s="27" t="s">
        <v>24</v>
      </c>
      <c r="I56" s="27" t="s">
        <v>25</v>
      </c>
      <c r="J56" s="29" t="s">
        <v>27</v>
      </c>
    </row>
    <row r="57" ht="15.75" customHeight="1">
      <c r="D57" s="19" t="s">
        <v>189</v>
      </c>
      <c r="E57" s="45">
        <v>8310.74</v>
      </c>
      <c r="F57" s="45">
        <v>7995.63</v>
      </c>
      <c r="G57" s="45">
        <v>4530.79</v>
      </c>
      <c r="H57" s="45">
        <v>1842.14</v>
      </c>
      <c r="I57" s="45">
        <v>95.16</v>
      </c>
      <c r="J57" s="46">
        <f t="shared" ref="J57:J58" si="29">G57+I57-H57</f>
        <v>2783.81</v>
      </c>
    </row>
    <row r="58" ht="15.75" customHeight="1">
      <c r="C58" s="125" t="s">
        <v>151</v>
      </c>
      <c r="D58" s="19" t="s">
        <v>190</v>
      </c>
      <c r="E58" s="56">
        <v>1516.43</v>
      </c>
      <c r="F58" s="56">
        <v>2323.2</v>
      </c>
      <c r="G58" s="56">
        <v>4083.46</v>
      </c>
      <c r="H58" s="56">
        <v>1525.71</v>
      </c>
      <c r="I58" s="56">
        <v>3673.9</v>
      </c>
      <c r="J58" s="58">
        <f t="shared" si="29"/>
        <v>6231.65</v>
      </c>
    </row>
    <row r="59" ht="15.75" customHeight="1">
      <c r="D59" s="93" t="s">
        <v>191</v>
      </c>
      <c r="E59" s="147">
        <f t="shared" ref="E59:J59" si="30">E58/E7</f>
        <v>0.02259135807</v>
      </c>
      <c r="F59" s="147">
        <f t="shared" si="30"/>
        <v>0.03077415845</v>
      </c>
      <c r="G59" s="147">
        <f t="shared" si="30"/>
        <v>0.04902367086</v>
      </c>
      <c r="H59" s="147">
        <f t="shared" si="30"/>
        <v>0.03841654471</v>
      </c>
      <c r="I59" s="147">
        <f t="shared" si="30"/>
        <v>0.08016595721</v>
      </c>
      <c r="J59" s="148">
        <f t="shared" si="30"/>
        <v>0.06969789767</v>
      </c>
    </row>
    <row r="60" ht="15.75" customHeight="1">
      <c r="D60" s="32" t="s">
        <v>193</v>
      </c>
      <c r="E60" s="33">
        <f t="shared" ref="E60:J60" si="31">E57-E58</f>
        <v>6794.31</v>
      </c>
      <c r="F60" s="33">
        <f t="shared" si="31"/>
        <v>5672.43</v>
      </c>
      <c r="G60" s="33">
        <f t="shared" si="31"/>
        <v>447.33</v>
      </c>
      <c r="H60" s="33">
        <f t="shared" si="31"/>
        <v>316.43</v>
      </c>
      <c r="I60" s="113">
        <f t="shared" si="31"/>
        <v>-3578.74</v>
      </c>
      <c r="J60" s="149">
        <f t="shared" si="31"/>
        <v>-3447.84</v>
      </c>
    </row>
    <row r="61" ht="15.75" customHeight="1">
      <c r="D61" s="76" t="s">
        <v>143</v>
      </c>
      <c r="E61" s="90">
        <f t="shared" ref="E61:J61" si="32">E60/E7</f>
        <v>0.1012197662</v>
      </c>
      <c r="F61" s="90">
        <f t="shared" si="32"/>
        <v>0.07513957456</v>
      </c>
      <c r="G61" s="90">
        <f t="shared" si="32"/>
        <v>0.005370386555</v>
      </c>
      <c r="H61" s="90">
        <f t="shared" si="32"/>
        <v>0.007967534619</v>
      </c>
      <c r="I61" s="90">
        <f t="shared" si="32"/>
        <v>-0.07808952822</v>
      </c>
      <c r="J61" s="77">
        <f t="shared" si="32"/>
        <v>-0.03856237104</v>
      </c>
    </row>
    <row r="62" ht="15.75" customHeight="1">
      <c r="D62" s="32" t="s">
        <v>195</v>
      </c>
      <c r="E62" s="33">
        <f t="shared" ref="E62:J62" si="33">E60/E20</f>
        <v>1.915795143</v>
      </c>
      <c r="F62" s="33">
        <f t="shared" si="33"/>
        <v>1.599458053</v>
      </c>
      <c r="G62" s="33">
        <f t="shared" si="33"/>
        <v>0.126133874</v>
      </c>
      <c r="H62" s="33">
        <f t="shared" si="33"/>
        <v>0.08932997578</v>
      </c>
      <c r="I62" s="113">
        <f t="shared" si="33"/>
        <v>-1.01029851</v>
      </c>
      <c r="J62" s="149">
        <f t="shared" si="33"/>
        <v>-0.9733447008</v>
      </c>
    </row>
    <row r="63" ht="15.75" customHeight="1">
      <c r="D63" s="19"/>
      <c r="E63" s="74"/>
      <c r="F63" s="74"/>
      <c r="G63" s="74"/>
      <c r="H63" s="74"/>
      <c r="I63" s="74"/>
      <c r="J63" s="75"/>
    </row>
    <row r="64" ht="15.75" customHeight="1">
      <c r="D64" s="19" t="s">
        <v>163</v>
      </c>
      <c r="E64" s="45">
        <f t="shared" ref="E64:J64" si="34">E37</f>
        <v>1700.21</v>
      </c>
      <c r="F64" s="45">
        <f t="shared" si="34"/>
        <v>1847.44</v>
      </c>
      <c r="G64" s="45">
        <f t="shared" si="34"/>
        <v>2126.01</v>
      </c>
      <c r="H64" s="45">
        <f t="shared" si="34"/>
        <v>948.78</v>
      </c>
      <c r="I64" s="45">
        <f t="shared" si="34"/>
        <v>1167.19</v>
      </c>
      <c r="J64" s="46">
        <f t="shared" si="34"/>
        <v>2344.42</v>
      </c>
    </row>
    <row r="65" ht="15.75" customHeight="1">
      <c r="D65" s="93" t="s">
        <v>191</v>
      </c>
      <c r="E65" s="147">
        <f t="shared" ref="E65:J65" si="35">E64/E7</f>
        <v>0.02532926208</v>
      </c>
      <c r="F65" s="147">
        <f t="shared" si="35"/>
        <v>0.02447202621</v>
      </c>
      <c r="G65" s="147">
        <f t="shared" si="35"/>
        <v>0.02552365261</v>
      </c>
      <c r="H65" s="147">
        <f t="shared" si="35"/>
        <v>0.02388976234</v>
      </c>
      <c r="I65" s="147">
        <f t="shared" si="35"/>
        <v>0.02546854939</v>
      </c>
      <c r="J65" s="148">
        <f t="shared" si="35"/>
        <v>0.02622116859</v>
      </c>
    </row>
    <row r="66" ht="15.75" customHeight="1">
      <c r="D66" s="139" t="s">
        <v>174</v>
      </c>
    </row>
    <row r="67" ht="15.75" customHeight="1">
      <c r="D67" s="139" t="s">
        <v>196</v>
      </c>
    </row>
    <row r="68" ht="15.75" customHeight="1"/>
    <row r="69" ht="15.75" customHeight="1">
      <c r="D69" s="16" t="s">
        <v>197</v>
      </c>
      <c r="E69" s="4"/>
      <c r="F69" s="4"/>
      <c r="G69" s="4"/>
      <c r="H69" s="5"/>
    </row>
    <row r="70" ht="15.75" customHeight="1">
      <c r="D70" s="23" t="s">
        <v>13</v>
      </c>
      <c r="E70" s="8"/>
      <c r="F70" s="8"/>
      <c r="G70" s="8"/>
      <c r="H70" s="10"/>
    </row>
    <row r="71" ht="15.75" customHeight="1">
      <c r="D71" s="19"/>
      <c r="E71" s="27" t="s">
        <v>32</v>
      </c>
      <c r="F71" s="27" t="s">
        <v>37</v>
      </c>
      <c r="G71" s="27" t="s">
        <v>39</v>
      </c>
      <c r="H71" s="29" t="s">
        <v>198</v>
      </c>
    </row>
    <row r="72" ht="15.75" customHeight="1">
      <c r="D72" s="150" t="s">
        <v>199</v>
      </c>
      <c r="E72" s="151">
        <f t="shared" ref="E72:H72" si="36">$B$26/E73</f>
        <v>1.445166316</v>
      </c>
      <c r="F72" s="151">
        <f t="shared" si="36"/>
        <v>1.380214181</v>
      </c>
      <c r="G72" s="151">
        <f t="shared" si="36"/>
        <v>1.27520588</v>
      </c>
      <c r="H72" s="152">
        <f t="shared" si="36"/>
        <v>1.197878044</v>
      </c>
    </row>
    <row r="73" ht="15.75" customHeight="1">
      <c r="D73" s="153" t="s">
        <v>200</v>
      </c>
      <c r="E73" s="45">
        <f>J7</f>
        <v>89409.44</v>
      </c>
      <c r="F73" s="45">
        <v>93617.0</v>
      </c>
      <c r="G73" s="45">
        <v>101326.0</v>
      </c>
      <c r="H73" s="46">
        <v>107867.0</v>
      </c>
    </row>
    <row r="74" ht="15.75" customHeight="1">
      <c r="D74" s="150" t="s">
        <v>12</v>
      </c>
      <c r="E74" s="151">
        <f t="shared" ref="E74:H74" si="37">$B$26/E75</f>
        <v>10.87788232</v>
      </c>
      <c r="F74" s="151">
        <f t="shared" si="37"/>
        <v>10.35763615</v>
      </c>
      <c r="G74" s="151">
        <f t="shared" si="37"/>
        <v>9.459115007</v>
      </c>
      <c r="H74" s="152">
        <f t="shared" si="37"/>
        <v>8.685904208</v>
      </c>
    </row>
    <row r="75" ht="15.75" customHeight="1">
      <c r="D75" s="153" t="s">
        <v>200</v>
      </c>
      <c r="E75" s="45">
        <f>J38</f>
        <v>11878.37</v>
      </c>
      <c r="F75" s="45">
        <v>12475.0</v>
      </c>
      <c r="G75" s="45">
        <v>13660.0</v>
      </c>
      <c r="H75" s="46">
        <v>14876.0</v>
      </c>
    </row>
    <row r="76" ht="15.75" customHeight="1">
      <c r="D76" s="150" t="s">
        <v>202</v>
      </c>
      <c r="E76" s="151">
        <f t="shared" ref="E76:H76" si="38">$B$26/E77</f>
        <v>13.55277833</v>
      </c>
      <c r="F76" s="151">
        <f t="shared" si="38"/>
        <v>13.59548727</v>
      </c>
      <c r="G76" s="151">
        <f t="shared" si="38"/>
        <v>12.09845609</v>
      </c>
      <c r="H76" s="152">
        <f t="shared" si="38"/>
        <v>11.07970425</v>
      </c>
    </row>
    <row r="77" ht="15.75" customHeight="1">
      <c r="D77" s="153" t="s">
        <v>200</v>
      </c>
      <c r="E77" s="45">
        <f>J34</f>
        <v>9533.95</v>
      </c>
      <c r="F77" s="45">
        <v>9504.0</v>
      </c>
      <c r="G77" s="45">
        <v>10680.0</v>
      </c>
      <c r="H77" s="46">
        <v>11662.0</v>
      </c>
    </row>
    <row r="78" ht="15.75" customHeight="1">
      <c r="D78" s="150" t="s">
        <v>16</v>
      </c>
      <c r="E78" s="151">
        <f t="shared" ref="E78:H78" si="39">$B$13/E79</f>
        <v>15.6073905</v>
      </c>
      <c r="F78" s="151">
        <f t="shared" si="39"/>
        <v>15.42253521</v>
      </c>
      <c r="G78" s="151">
        <f t="shared" si="39"/>
        <v>14.34497817</v>
      </c>
      <c r="H78" s="152">
        <f t="shared" si="39"/>
        <v>13.03571429</v>
      </c>
    </row>
    <row r="79" ht="15.75" customHeight="1">
      <c r="D79" s="153" t="s">
        <v>200</v>
      </c>
      <c r="E79" s="45">
        <f>J49</f>
        <v>2.104772095</v>
      </c>
      <c r="F79" s="45">
        <v>2.13</v>
      </c>
      <c r="G79" s="45">
        <v>2.29</v>
      </c>
      <c r="H79" s="46">
        <v>2.52</v>
      </c>
    </row>
    <row r="80" ht="15.75" customHeight="1">
      <c r="D80" s="150" t="s">
        <v>20</v>
      </c>
      <c r="E80" s="155">
        <f t="shared" ref="E80:H80" si="40">E81/$B$13</f>
        <v>-0.02962997567</v>
      </c>
      <c r="F80" s="156">
        <f t="shared" si="40"/>
        <v>0.04140030441</v>
      </c>
      <c r="G80" s="156">
        <f t="shared" si="40"/>
        <v>0.06057838661</v>
      </c>
      <c r="H80" s="157">
        <f t="shared" si="40"/>
        <v>0.04687975647</v>
      </c>
    </row>
    <row r="81" ht="15.75" customHeight="1">
      <c r="D81" s="158" t="s">
        <v>200</v>
      </c>
      <c r="E81" s="160">
        <f>J62</f>
        <v>-0.9733447008</v>
      </c>
      <c r="F81" s="161">
        <v>1.36</v>
      </c>
      <c r="G81" s="161">
        <v>1.99</v>
      </c>
      <c r="H81" s="162">
        <v>1.54</v>
      </c>
    </row>
    <row r="82" ht="15.75" customHeight="1"/>
    <row r="83" ht="15.75" customHeight="1"/>
    <row r="84" ht="15.75" customHeight="1">
      <c r="F84" s="163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P1"/>
    <mergeCell ref="A2:P2"/>
    <mergeCell ref="A4:B4"/>
    <mergeCell ref="D4:J4"/>
    <mergeCell ref="L4:N4"/>
    <mergeCell ref="D5:J5"/>
    <mergeCell ref="L5:N5"/>
    <mergeCell ref="A11:B11"/>
    <mergeCell ref="A12:B12"/>
    <mergeCell ref="D23:J23"/>
    <mergeCell ref="D24:J24"/>
    <mergeCell ref="A28:B28"/>
    <mergeCell ref="L33:P33"/>
    <mergeCell ref="A34:B34"/>
    <mergeCell ref="D53:J53"/>
    <mergeCell ref="D54:J54"/>
    <mergeCell ref="D55:J55"/>
    <mergeCell ref="D66:J66"/>
    <mergeCell ref="D67:J67"/>
    <mergeCell ref="D69:H69"/>
    <mergeCell ref="D70:H70"/>
    <mergeCell ref="L42:P42"/>
    <mergeCell ref="L43:P43"/>
    <mergeCell ref="A44:B44"/>
    <mergeCell ref="A45:B45"/>
    <mergeCell ref="D50:J50"/>
    <mergeCell ref="D51:J51"/>
    <mergeCell ref="D52:J5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75"/>
    <col customWidth="1" min="2" max="2" width="30.13"/>
    <col customWidth="1" min="3" max="3" width="5.25"/>
    <col customWidth="1" min="4" max="4" width="29.63"/>
    <col customWidth="1" min="5" max="6" width="12.63"/>
    <col customWidth="1" min="8" max="8" width="22.13"/>
    <col customWidth="1" min="9" max="9" width="22.5"/>
    <col customWidth="1" min="10" max="10" width="19.13"/>
    <col customWidth="1" min="11" max="11" width="4.5"/>
    <col customWidth="1" min="12" max="12" width="31.0"/>
  </cols>
  <sheetData>
    <row r="1" ht="15.75" customHeight="1">
      <c r="A1" s="159" t="s">
        <v>203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2" ht="15.75" customHeight="1">
      <c r="A2" s="164" t="s">
        <v>204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10"/>
    </row>
    <row r="3" ht="15.75" customHeight="1"/>
    <row r="4" ht="15.75" customHeight="1">
      <c r="A4" s="165" t="s">
        <v>6</v>
      </c>
      <c r="B4" s="14"/>
      <c r="D4" s="166" t="s">
        <v>8</v>
      </c>
      <c r="E4" s="4"/>
      <c r="F4" s="4"/>
      <c r="G4" s="4"/>
      <c r="H4" s="4"/>
      <c r="I4" s="4"/>
      <c r="J4" s="5"/>
      <c r="L4" s="166" t="s">
        <v>9</v>
      </c>
      <c r="M4" s="4"/>
      <c r="N4" s="5"/>
    </row>
    <row r="5" ht="15.75" customHeight="1">
      <c r="A5" s="19" t="s">
        <v>10</v>
      </c>
      <c r="B5" s="21" t="s">
        <v>205</v>
      </c>
      <c r="D5" s="167" t="s">
        <v>13</v>
      </c>
      <c r="E5" s="8"/>
      <c r="F5" s="8"/>
      <c r="G5" s="8"/>
      <c r="H5" s="8"/>
      <c r="I5" s="8"/>
      <c r="J5" s="10"/>
      <c r="L5" s="167" t="s">
        <v>15</v>
      </c>
      <c r="M5" s="8"/>
      <c r="N5" s="10"/>
    </row>
    <row r="6" ht="15.75" customHeight="1">
      <c r="A6" s="19" t="s">
        <v>17</v>
      </c>
      <c r="B6" s="21" t="s">
        <v>61</v>
      </c>
      <c r="D6" s="19"/>
      <c r="E6" s="27" t="s">
        <v>19</v>
      </c>
      <c r="F6" s="27" t="s">
        <v>21</v>
      </c>
      <c r="G6" s="27" t="s">
        <v>23</v>
      </c>
      <c r="H6" s="27" t="s">
        <v>24</v>
      </c>
      <c r="I6" s="27" t="s">
        <v>25</v>
      </c>
      <c r="J6" s="29" t="s">
        <v>27</v>
      </c>
      <c r="L6" s="19"/>
      <c r="M6" s="27" t="s">
        <v>23</v>
      </c>
      <c r="N6" s="29" t="s">
        <v>33</v>
      </c>
    </row>
    <row r="7" ht="15.75" customHeight="1">
      <c r="A7" s="19" t="s">
        <v>35</v>
      </c>
      <c r="B7" s="21" t="s">
        <v>36</v>
      </c>
      <c r="D7" s="32" t="s">
        <v>38</v>
      </c>
      <c r="E7" s="33">
        <v>379822.0</v>
      </c>
      <c r="F7" s="33">
        <v>400872.0</v>
      </c>
      <c r="G7" s="33">
        <v>419060.0</v>
      </c>
      <c r="H7" s="33">
        <v>201200.0</v>
      </c>
      <c r="I7" s="33">
        <v>205254.0</v>
      </c>
      <c r="J7" s="42">
        <f t="shared" ref="J7:J8" si="1">G7+I7-H7</f>
        <v>423114</v>
      </c>
      <c r="L7" s="19" t="s">
        <v>46</v>
      </c>
      <c r="M7" s="45">
        <v>64506.0</v>
      </c>
      <c r="N7" s="46">
        <v>63316.0</v>
      </c>
    </row>
    <row r="8" ht="15.75" customHeight="1">
      <c r="A8" s="19" t="s">
        <v>49</v>
      </c>
      <c r="B8" s="48">
        <v>46387.0</v>
      </c>
      <c r="D8" s="51" t="s">
        <v>50</v>
      </c>
      <c r="E8" s="52">
        <v>279222.0</v>
      </c>
      <c r="F8" s="52">
        <v>289940.0</v>
      </c>
      <c r="G8" s="52">
        <v>298700.0</v>
      </c>
      <c r="H8" s="52">
        <v>143084.0</v>
      </c>
      <c r="I8" s="52">
        <v>146863.0</v>
      </c>
      <c r="J8" s="55">
        <f t="shared" si="1"/>
        <v>302479</v>
      </c>
      <c r="L8" s="19" t="s">
        <v>51</v>
      </c>
      <c r="M8" s="56">
        <v>29891.0</v>
      </c>
      <c r="N8" s="58">
        <v>24175.0</v>
      </c>
    </row>
    <row r="9" ht="15.75" customHeight="1">
      <c r="A9" s="51" t="s">
        <v>52</v>
      </c>
      <c r="B9" s="61">
        <v>0.25</v>
      </c>
      <c r="D9" s="32" t="s">
        <v>54</v>
      </c>
      <c r="E9" s="33">
        <f t="shared" ref="E9:J9" si="2">E7-E8</f>
        <v>100600</v>
      </c>
      <c r="F9" s="33">
        <f t="shared" si="2"/>
        <v>110932</v>
      </c>
      <c r="G9" s="33">
        <f t="shared" si="2"/>
        <v>120360</v>
      </c>
      <c r="H9" s="33">
        <f t="shared" si="2"/>
        <v>58116</v>
      </c>
      <c r="I9" s="33">
        <f t="shared" si="2"/>
        <v>58391</v>
      </c>
      <c r="J9" s="42">
        <f t="shared" si="2"/>
        <v>120635</v>
      </c>
      <c r="L9" s="19" t="s">
        <v>58</v>
      </c>
      <c r="M9" s="56">
        <v>43659.0</v>
      </c>
      <c r="N9" s="58">
        <v>51656.0</v>
      </c>
    </row>
    <row r="10" ht="15.75" customHeight="1">
      <c r="D10" s="51" t="s">
        <v>59</v>
      </c>
      <c r="E10" s="52">
        <v>52189.0</v>
      </c>
      <c r="F10" s="52">
        <v>55140.0</v>
      </c>
      <c r="G10" s="52">
        <v>59320.0</v>
      </c>
      <c r="H10" s="52">
        <v>28075.0</v>
      </c>
      <c r="I10" s="52">
        <v>29580.0</v>
      </c>
      <c r="J10" s="55">
        <f>G10+I10-H10</f>
        <v>60825</v>
      </c>
      <c r="L10" s="51" t="s">
        <v>62</v>
      </c>
      <c r="M10" s="52">
        <v>8206.0</v>
      </c>
      <c r="N10" s="55">
        <v>7907.0</v>
      </c>
    </row>
    <row r="11" ht="15.75" customHeight="1">
      <c r="A11" s="166" t="s">
        <v>63</v>
      </c>
      <c r="B11" s="5"/>
      <c r="D11" s="32" t="s">
        <v>65</v>
      </c>
      <c r="E11" s="33">
        <f t="shared" ref="E11:J11" si="3">E9-E10</f>
        <v>48411</v>
      </c>
      <c r="F11" s="33">
        <f t="shared" si="3"/>
        <v>55792</v>
      </c>
      <c r="G11" s="33">
        <f t="shared" si="3"/>
        <v>61040</v>
      </c>
      <c r="H11" s="33">
        <f t="shared" si="3"/>
        <v>30041</v>
      </c>
      <c r="I11" s="33">
        <f t="shared" si="3"/>
        <v>28811</v>
      </c>
      <c r="J11" s="42">
        <f t="shared" si="3"/>
        <v>59810</v>
      </c>
      <c r="L11" s="32" t="s">
        <v>66</v>
      </c>
      <c r="M11" s="33">
        <f t="shared" ref="M11:N11" si="4">SUM(M7:M10)</f>
        <v>146262</v>
      </c>
      <c r="N11" s="42">
        <f t="shared" si="4"/>
        <v>147054</v>
      </c>
    </row>
    <row r="12" ht="15.75" customHeight="1">
      <c r="A12" s="167" t="s">
        <v>68</v>
      </c>
      <c r="B12" s="10"/>
      <c r="D12" s="19" t="s">
        <v>64</v>
      </c>
      <c r="E12" s="56">
        <v>-3152.0</v>
      </c>
      <c r="F12" s="56">
        <v>1104.0</v>
      </c>
      <c r="G12" s="56">
        <v>-1093.0</v>
      </c>
      <c r="H12" s="56">
        <v>-545.0</v>
      </c>
      <c r="I12" s="56">
        <v>-372.0</v>
      </c>
      <c r="J12" s="58">
        <f t="shared" ref="J12:J13" si="5">G12+I12-H12</f>
        <v>-920</v>
      </c>
      <c r="L12" s="19"/>
      <c r="M12" s="74"/>
      <c r="N12" s="75"/>
    </row>
    <row r="13" ht="15.75" customHeight="1">
      <c r="A13" s="19" t="s">
        <v>69</v>
      </c>
      <c r="B13" s="46">
        <v>48.6</v>
      </c>
      <c r="D13" s="51" t="s">
        <v>70</v>
      </c>
      <c r="E13" s="52">
        <v>1685.0</v>
      </c>
      <c r="F13" s="52">
        <v>1021.0</v>
      </c>
      <c r="G13" s="52">
        <v>1225.0</v>
      </c>
      <c r="H13" s="52">
        <v>744.0</v>
      </c>
      <c r="I13" s="52">
        <v>539.0</v>
      </c>
      <c r="J13" s="55">
        <f t="shared" si="5"/>
        <v>1020</v>
      </c>
      <c r="L13" s="19" t="s">
        <v>71</v>
      </c>
      <c r="M13" s="56">
        <v>136768.0</v>
      </c>
      <c r="N13" s="58">
        <v>136289.0</v>
      </c>
    </row>
    <row r="14" ht="15.75" customHeight="1">
      <c r="A14" s="76" t="s">
        <v>29</v>
      </c>
      <c r="B14" s="77">
        <f>B13/B15</f>
        <v>0.8655387355</v>
      </c>
      <c r="D14" s="32" t="s">
        <v>72</v>
      </c>
      <c r="E14" s="33">
        <f t="shared" ref="E14:J14" si="6">E11-E12-E13</f>
        <v>49878</v>
      </c>
      <c r="F14" s="33">
        <f t="shared" si="6"/>
        <v>53667</v>
      </c>
      <c r="G14" s="33">
        <f t="shared" si="6"/>
        <v>60908</v>
      </c>
      <c r="H14" s="33">
        <f t="shared" si="6"/>
        <v>29842</v>
      </c>
      <c r="I14" s="33">
        <f t="shared" si="6"/>
        <v>28644</v>
      </c>
      <c r="J14" s="42">
        <f t="shared" si="6"/>
        <v>59710</v>
      </c>
      <c r="L14" s="19" t="s">
        <v>74</v>
      </c>
      <c r="M14" s="56">
        <v>40812.0</v>
      </c>
      <c r="N14" s="58">
        <v>40886.0</v>
      </c>
    </row>
    <row r="15" ht="15.75" customHeight="1">
      <c r="A15" s="19" t="s">
        <v>75</v>
      </c>
      <c r="B15" s="46">
        <v>56.15</v>
      </c>
      <c r="D15" s="19" t="s">
        <v>76</v>
      </c>
      <c r="E15" s="56">
        <v>11773.0</v>
      </c>
      <c r="F15" s="56">
        <v>12734.0</v>
      </c>
      <c r="G15" s="56">
        <v>14628.0</v>
      </c>
      <c r="H15" s="56">
        <v>6878.0</v>
      </c>
      <c r="I15" s="56">
        <v>6592.0</v>
      </c>
      <c r="J15" s="58">
        <f t="shared" ref="J15:J16" si="7">G15+I15-H15</f>
        <v>14342</v>
      </c>
      <c r="L15" s="51" t="s">
        <v>77</v>
      </c>
      <c r="M15" s="52">
        <v>65465.0</v>
      </c>
      <c r="N15" s="55">
        <v>65718.0</v>
      </c>
    </row>
    <row r="16" ht="15.75" customHeight="1">
      <c r="A16" s="19" t="s">
        <v>78</v>
      </c>
      <c r="B16" s="46">
        <v>47.8</v>
      </c>
      <c r="D16" s="51" t="s">
        <v>79</v>
      </c>
      <c r="E16" s="80">
        <v>14987.0</v>
      </c>
      <c r="F16" s="80">
        <v>15190.0</v>
      </c>
      <c r="G16" s="80">
        <v>16152.0</v>
      </c>
      <c r="H16" s="80">
        <v>8016.0</v>
      </c>
      <c r="I16" s="80">
        <v>7442.0</v>
      </c>
      <c r="J16" s="81">
        <f t="shared" si="7"/>
        <v>15578</v>
      </c>
      <c r="L16" s="32" t="s">
        <v>81</v>
      </c>
      <c r="M16" s="33">
        <f t="shared" ref="M16:N16" si="8">M11+SUM(M13:M15)</f>
        <v>389307</v>
      </c>
      <c r="N16" s="42">
        <f t="shared" si="8"/>
        <v>389947</v>
      </c>
    </row>
    <row r="17" ht="15.75" customHeight="1">
      <c r="A17" s="19" t="s">
        <v>83</v>
      </c>
      <c r="B17" s="46">
        <v>1.27</v>
      </c>
      <c r="D17" s="82" t="s">
        <v>85</v>
      </c>
      <c r="E17" s="85">
        <f t="shared" ref="E17:J17" si="9">E14-E15-E16</f>
        <v>23118</v>
      </c>
      <c r="F17" s="85">
        <f t="shared" si="9"/>
        <v>25743</v>
      </c>
      <c r="G17" s="85">
        <f t="shared" si="9"/>
        <v>30128</v>
      </c>
      <c r="H17" s="85">
        <f t="shared" si="9"/>
        <v>14948</v>
      </c>
      <c r="I17" s="85">
        <f t="shared" si="9"/>
        <v>14610</v>
      </c>
      <c r="J17" s="87">
        <f t="shared" si="9"/>
        <v>29790</v>
      </c>
      <c r="L17" s="19"/>
      <c r="M17" s="74"/>
      <c r="N17" s="75"/>
    </row>
    <row r="18" ht="15.75" customHeight="1">
      <c r="A18" s="19"/>
      <c r="B18" s="75"/>
      <c r="D18" s="76" t="s">
        <v>86</v>
      </c>
      <c r="E18" s="90">
        <v>0.236</v>
      </c>
      <c r="F18" s="90">
        <v>0.237</v>
      </c>
      <c r="G18" s="90">
        <v>0.24</v>
      </c>
      <c r="H18" s="90">
        <v>0.23</v>
      </c>
      <c r="I18" s="90">
        <v>0.23</v>
      </c>
      <c r="J18" s="77">
        <v>0.24</v>
      </c>
      <c r="L18" s="19" t="s">
        <v>87</v>
      </c>
      <c r="M18" s="45">
        <v>74542.0</v>
      </c>
      <c r="N18" s="46">
        <v>71177.0</v>
      </c>
    </row>
    <row r="19" ht="15.75" customHeight="1">
      <c r="A19" s="51" t="s">
        <v>89</v>
      </c>
      <c r="B19" s="55">
        <f>J20</f>
        <v>5909.22</v>
      </c>
      <c r="D19" s="19"/>
      <c r="E19" s="74"/>
      <c r="F19" s="74"/>
      <c r="G19" s="74"/>
      <c r="H19" s="74"/>
      <c r="I19" s="74"/>
      <c r="J19" s="75"/>
      <c r="L19" s="51" t="s">
        <v>90</v>
      </c>
      <c r="M19" s="52">
        <v>11480.0</v>
      </c>
      <c r="N19" s="55">
        <v>9488.0</v>
      </c>
    </row>
    <row r="20" ht="15.75" customHeight="1">
      <c r="A20" s="32" t="s">
        <v>30</v>
      </c>
      <c r="B20" s="42">
        <f>B13*B19</f>
        <v>287188.092</v>
      </c>
      <c r="D20" s="51" t="s">
        <v>92</v>
      </c>
      <c r="E20" s="52">
        <v>5909.22</v>
      </c>
      <c r="F20" s="52">
        <v>5909.22</v>
      </c>
      <c r="G20" s="52">
        <v>5909.22</v>
      </c>
      <c r="H20" s="52">
        <v>5909.22</v>
      </c>
      <c r="I20" s="52">
        <v>5909.22</v>
      </c>
      <c r="J20" s="55">
        <v>5909.22</v>
      </c>
      <c r="L20" s="32" t="s">
        <v>93</v>
      </c>
      <c r="M20" s="33">
        <f t="shared" ref="M20:N20" si="10">M18+M19</f>
        <v>86022</v>
      </c>
      <c r="N20" s="42">
        <f t="shared" si="10"/>
        <v>80665</v>
      </c>
    </row>
    <row r="21" ht="15.75" customHeight="1">
      <c r="A21" s="19"/>
      <c r="B21" s="75"/>
      <c r="D21" s="82" t="s">
        <v>95</v>
      </c>
      <c r="E21" s="85">
        <f t="shared" ref="E21:J21" si="11">E17/E20</f>
        <v>3.912191457</v>
      </c>
      <c r="F21" s="85">
        <f t="shared" si="11"/>
        <v>4.356412521</v>
      </c>
      <c r="G21" s="85">
        <f t="shared" si="11"/>
        <v>5.098473233</v>
      </c>
      <c r="H21" s="85">
        <f t="shared" si="11"/>
        <v>2.529606276</v>
      </c>
      <c r="I21" s="85">
        <f t="shared" si="11"/>
        <v>2.472407526</v>
      </c>
      <c r="J21" s="87">
        <f t="shared" si="11"/>
        <v>5.041274483</v>
      </c>
      <c r="L21" s="19"/>
      <c r="M21" s="74"/>
      <c r="N21" s="75"/>
    </row>
    <row r="22" ht="15.75" customHeight="1">
      <c r="A22" s="19" t="s">
        <v>99</v>
      </c>
      <c r="B22" s="58">
        <f>N22</f>
        <v>98257</v>
      </c>
      <c r="L22" s="19" t="s">
        <v>102</v>
      </c>
      <c r="M22" s="56">
        <v>100738.0</v>
      </c>
      <c r="N22" s="58">
        <v>98257.0</v>
      </c>
    </row>
    <row r="23" ht="15.75" customHeight="1">
      <c r="A23" s="19" t="s">
        <v>104</v>
      </c>
      <c r="B23" s="99">
        <v>300.0</v>
      </c>
      <c r="D23" s="166" t="s">
        <v>106</v>
      </c>
      <c r="E23" s="4"/>
      <c r="F23" s="4"/>
      <c r="G23" s="4"/>
      <c r="H23" s="4"/>
      <c r="I23" s="4"/>
      <c r="J23" s="5"/>
      <c r="L23" s="51" t="s">
        <v>108</v>
      </c>
      <c r="M23" s="52">
        <v>5804.0</v>
      </c>
      <c r="N23" s="55">
        <v>5682.0</v>
      </c>
    </row>
    <row r="24" ht="15.75" customHeight="1">
      <c r="A24" s="19" t="s">
        <v>110</v>
      </c>
      <c r="B24" s="58">
        <f>N26</f>
        <v>67790</v>
      </c>
      <c r="D24" s="167" t="s">
        <v>13</v>
      </c>
      <c r="E24" s="8"/>
      <c r="F24" s="8"/>
      <c r="G24" s="8"/>
      <c r="H24" s="8"/>
      <c r="I24" s="8"/>
      <c r="J24" s="10"/>
      <c r="L24" s="32" t="s">
        <v>113</v>
      </c>
      <c r="M24" s="33">
        <f t="shared" ref="M24:N24" si="12">M20+M22+M23</f>
        <v>192564</v>
      </c>
      <c r="N24" s="42">
        <f t="shared" si="12"/>
        <v>184604</v>
      </c>
    </row>
    <row r="25" ht="15.75" customHeight="1">
      <c r="A25" s="51" t="s">
        <v>118</v>
      </c>
      <c r="B25" s="55">
        <f>N7</f>
        <v>63316</v>
      </c>
      <c r="D25" s="19"/>
      <c r="E25" s="27" t="s">
        <v>19</v>
      </c>
      <c r="F25" s="27" t="s">
        <v>21</v>
      </c>
      <c r="G25" s="27" t="s">
        <v>23</v>
      </c>
      <c r="H25" s="27" t="s">
        <v>24</v>
      </c>
      <c r="I25" s="27" t="s">
        <v>25</v>
      </c>
      <c r="J25" s="29" t="s">
        <v>27</v>
      </c>
      <c r="L25" s="19"/>
      <c r="M25" s="74"/>
      <c r="N25" s="75"/>
    </row>
    <row r="26" ht="15.75" customHeight="1">
      <c r="A26" s="82" t="s">
        <v>31</v>
      </c>
      <c r="B26" s="87">
        <f>B20+B22+B23+B24-B25</f>
        <v>390219.092</v>
      </c>
      <c r="D26" s="19" t="s">
        <v>124</v>
      </c>
      <c r="E26" s="45">
        <f t="shared" ref="E26:J26" si="13">E9</f>
        <v>100600</v>
      </c>
      <c r="F26" s="45">
        <f t="shared" si="13"/>
        <v>110932</v>
      </c>
      <c r="G26" s="45">
        <f t="shared" si="13"/>
        <v>120360</v>
      </c>
      <c r="H26" s="45">
        <f t="shared" si="13"/>
        <v>58116</v>
      </c>
      <c r="I26" s="45">
        <f t="shared" si="13"/>
        <v>58391</v>
      </c>
      <c r="J26" s="46">
        <f t="shared" si="13"/>
        <v>120635</v>
      </c>
      <c r="L26" s="19" t="s">
        <v>79</v>
      </c>
      <c r="M26" s="114">
        <v>68260.0</v>
      </c>
      <c r="N26" s="99">
        <v>67790.0</v>
      </c>
    </row>
    <row r="27" ht="15.75" customHeight="1">
      <c r="D27" s="51" t="s">
        <v>125</v>
      </c>
      <c r="E27" s="115" t="s">
        <v>80</v>
      </c>
      <c r="F27" s="115" t="s">
        <v>80</v>
      </c>
      <c r="G27" s="115" t="s">
        <v>80</v>
      </c>
      <c r="H27" s="115" t="s">
        <v>80</v>
      </c>
      <c r="I27" s="115" t="s">
        <v>80</v>
      </c>
      <c r="J27" s="117" t="s">
        <v>80</v>
      </c>
      <c r="L27" s="19" t="s">
        <v>126</v>
      </c>
      <c r="M27" s="114" t="s">
        <v>80</v>
      </c>
      <c r="N27" s="99" t="s">
        <v>80</v>
      </c>
    </row>
    <row r="28" ht="15.75" customHeight="1">
      <c r="A28" s="165" t="s">
        <v>127</v>
      </c>
      <c r="B28" s="14"/>
      <c r="D28" s="32" t="s">
        <v>130</v>
      </c>
      <c r="E28" s="33">
        <f t="shared" ref="E28:J28" si="14">E26</f>
        <v>100600</v>
      </c>
      <c r="F28" s="33">
        <f t="shared" si="14"/>
        <v>110932</v>
      </c>
      <c r="G28" s="33">
        <f t="shared" si="14"/>
        <v>120360</v>
      </c>
      <c r="H28" s="33">
        <f t="shared" si="14"/>
        <v>58116</v>
      </c>
      <c r="I28" s="33">
        <f t="shared" si="14"/>
        <v>58391</v>
      </c>
      <c r="J28" s="42">
        <f t="shared" si="14"/>
        <v>120635</v>
      </c>
      <c r="L28" s="51" t="s">
        <v>138</v>
      </c>
      <c r="M28" s="52">
        <v>128483.0</v>
      </c>
      <c r="N28" s="55">
        <v>137553.0</v>
      </c>
    </row>
    <row r="29" ht="15.75" customHeight="1">
      <c r="A29" s="19" t="s">
        <v>140</v>
      </c>
      <c r="B29" s="119">
        <f>(J34*(1-B9))/((M28+N28+M22+N22+M26+N26-M7-N7)/2)</f>
        <v>0.1895685027</v>
      </c>
      <c r="D29" s="76" t="s">
        <v>143</v>
      </c>
      <c r="E29" s="90">
        <f t="shared" ref="E29:J29" si="15">E28/E7</f>
        <v>0.2648609085</v>
      </c>
      <c r="F29" s="90">
        <f t="shared" si="15"/>
        <v>0.2767267357</v>
      </c>
      <c r="G29" s="90">
        <f t="shared" si="15"/>
        <v>0.2872142414</v>
      </c>
      <c r="H29" s="90">
        <f t="shared" si="15"/>
        <v>0.2888469185</v>
      </c>
      <c r="I29" s="90">
        <f t="shared" si="15"/>
        <v>0.2844816666</v>
      </c>
      <c r="J29" s="77">
        <f t="shared" si="15"/>
        <v>0.2851122865</v>
      </c>
      <c r="L29" s="32" t="s">
        <v>146</v>
      </c>
      <c r="M29" s="33">
        <f t="shared" ref="M29:N29" si="16">M24+M26+M28</f>
        <v>389307</v>
      </c>
      <c r="N29" s="42">
        <f t="shared" si="16"/>
        <v>389947</v>
      </c>
    </row>
    <row r="30" ht="15.75" customHeight="1">
      <c r="A30" s="19" t="s">
        <v>147</v>
      </c>
      <c r="B30" s="119">
        <f>J46/((M28+N28)/2)</f>
        <v>0.2187673849</v>
      </c>
      <c r="D30" s="19"/>
      <c r="E30" s="74"/>
      <c r="F30" s="74"/>
      <c r="G30" s="74"/>
      <c r="H30" s="74"/>
      <c r="I30" s="74"/>
      <c r="J30" s="75"/>
      <c r="L30" s="19"/>
      <c r="M30" s="74"/>
      <c r="N30" s="75"/>
    </row>
    <row r="31" ht="15.75" customHeight="1">
      <c r="A31" s="19" t="s">
        <v>148</v>
      </c>
      <c r="B31" s="119">
        <f>J46/((M16+N16)/2)</f>
        <v>0.07468681585</v>
      </c>
      <c r="D31" s="19" t="s">
        <v>149</v>
      </c>
      <c r="E31" s="45">
        <f t="shared" ref="E31:J31" si="17">E11</f>
        <v>48411</v>
      </c>
      <c r="F31" s="45">
        <f t="shared" si="17"/>
        <v>55792</v>
      </c>
      <c r="G31" s="45">
        <f t="shared" si="17"/>
        <v>61040</v>
      </c>
      <c r="H31" s="45">
        <f t="shared" si="17"/>
        <v>30041</v>
      </c>
      <c r="I31" s="45">
        <f t="shared" si="17"/>
        <v>28811</v>
      </c>
      <c r="J31" s="46">
        <f t="shared" si="17"/>
        <v>59810</v>
      </c>
      <c r="L31" s="93" t="s">
        <v>150</v>
      </c>
      <c r="M31" s="121">
        <f t="shared" ref="M31:N31" si="18">M16-M29</f>
        <v>0</v>
      </c>
      <c r="N31" s="122">
        <f t="shared" si="18"/>
        <v>0</v>
      </c>
    </row>
    <row r="32" ht="15.75" customHeight="1">
      <c r="A32" s="51" t="s">
        <v>44</v>
      </c>
      <c r="B32" s="123">
        <f>(B17*4)/B13</f>
        <v>0.104526749</v>
      </c>
      <c r="D32" s="19" t="s">
        <v>125</v>
      </c>
      <c r="E32" s="124" t="s">
        <v>80</v>
      </c>
      <c r="F32" s="124" t="s">
        <v>80</v>
      </c>
      <c r="G32" s="124" t="s">
        <v>80</v>
      </c>
      <c r="H32" s="124" t="s">
        <v>80</v>
      </c>
      <c r="I32" s="124" t="s">
        <v>80</v>
      </c>
      <c r="J32" s="21" t="s">
        <v>80</v>
      </c>
    </row>
    <row r="33" ht="15.75" customHeight="1">
      <c r="C33" s="128"/>
      <c r="D33" s="51" t="s">
        <v>152</v>
      </c>
      <c r="E33" s="115" t="s">
        <v>80</v>
      </c>
      <c r="F33" s="115" t="s">
        <v>80</v>
      </c>
      <c r="G33" s="115" t="s">
        <v>80</v>
      </c>
      <c r="H33" s="115" t="s">
        <v>80</v>
      </c>
      <c r="I33" s="115" t="s">
        <v>80</v>
      </c>
      <c r="J33" s="81" t="str">
        <f>I33</f>
        <v>-</v>
      </c>
      <c r="L33" s="165" t="s">
        <v>153</v>
      </c>
      <c r="M33" s="126"/>
      <c r="N33" s="126"/>
      <c r="O33" s="126"/>
      <c r="P33" s="14"/>
    </row>
    <row r="34" ht="15.75" customHeight="1">
      <c r="A34" s="165" t="s">
        <v>154</v>
      </c>
      <c r="B34" s="14"/>
      <c r="C34" s="127"/>
      <c r="D34" s="32" t="s">
        <v>155</v>
      </c>
      <c r="E34" s="33">
        <f t="shared" ref="E34:J34" si="19">E31</f>
        <v>48411</v>
      </c>
      <c r="F34" s="33">
        <f t="shared" si="19"/>
        <v>55792</v>
      </c>
      <c r="G34" s="33">
        <f t="shared" si="19"/>
        <v>61040</v>
      </c>
      <c r="H34" s="33">
        <f t="shared" si="19"/>
        <v>30041</v>
      </c>
      <c r="I34" s="33">
        <f t="shared" si="19"/>
        <v>28811</v>
      </c>
      <c r="J34" s="42">
        <f t="shared" si="19"/>
        <v>59810</v>
      </c>
      <c r="L34" s="129"/>
      <c r="M34" s="130" t="s">
        <v>38</v>
      </c>
      <c r="N34" s="130" t="s">
        <v>96</v>
      </c>
      <c r="O34" s="130" t="s">
        <v>156</v>
      </c>
      <c r="P34" s="131" t="s">
        <v>157</v>
      </c>
    </row>
    <row r="35" ht="15.75" customHeight="1">
      <c r="A35" s="32" t="s">
        <v>158</v>
      </c>
      <c r="B35" s="75"/>
      <c r="C35" s="127"/>
      <c r="D35" s="76" t="s">
        <v>143</v>
      </c>
      <c r="E35" s="90">
        <f t="shared" ref="E35:J35" si="20">E34/E7</f>
        <v>0.127457072</v>
      </c>
      <c r="F35" s="90">
        <f t="shared" si="20"/>
        <v>0.139176595</v>
      </c>
      <c r="G35" s="90">
        <f t="shared" si="20"/>
        <v>0.1456593328</v>
      </c>
      <c r="H35" s="90">
        <f t="shared" si="20"/>
        <v>0.1493091451</v>
      </c>
      <c r="I35" s="90">
        <f t="shared" si="20"/>
        <v>0.1403675446</v>
      </c>
      <c r="J35" s="77">
        <f t="shared" si="20"/>
        <v>0.1413567029</v>
      </c>
      <c r="L35" s="32" t="s">
        <v>159</v>
      </c>
      <c r="M35" s="74"/>
      <c r="N35" s="74"/>
      <c r="O35" s="74"/>
      <c r="P35" s="75"/>
    </row>
    <row r="36" ht="15.75" customHeight="1">
      <c r="A36" s="19" t="s">
        <v>160</v>
      </c>
      <c r="B36" s="119">
        <f>N22/(N28+N22+N26)</f>
        <v>0.3236396574</v>
      </c>
      <c r="C36" s="127"/>
      <c r="D36" s="19"/>
      <c r="E36" s="74"/>
      <c r="F36" s="74"/>
      <c r="G36" s="74"/>
      <c r="H36" s="74"/>
      <c r="I36" s="74"/>
      <c r="J36" s="75"/>
      <c r="L36" s="19" t="s">
        <v>161</v>
      </c>
      <c r="M36" s="132">
        <f>((G7/F7)^(1/1))-1</f>
        <v>0.04537109102</v>
      </c>
      <c r="N36" s="132">
        <f>((G38/F38)^(1/1))-1</f>
        <v>0.1025383504</v>
      </c>
      <c r="O36" s="132">
        <f>((G62/F62)^(1/1))-1</f>
        <v>0.1625135689</v>
      </c>
      <c r="P36" s="119">
        <f>((G49/F49)^(1/1))-1</f>
        <v>0.1030183283</v>
      </c>
    </row>
    <row r="37" ht="15.75" customHeight="1">
      <c r="A37" s="19" t="s">
        <v>162</v>
      </c>
      <c r="B37" s="133">
        <f>N22/J38</f>
        <v>1.231506781</v>
      </c>
      <c r="C37" s="127"/>
      <c r="D37" s="51" t="s">
        <v>163</v>
      </c>
      <c r="E37" s="134">
        <v>16164.0</v>
      </c>
      <c r="F37" s="134">
        <v>16893.0</v>
      </c>
      <c r="G37" s="134">
        <v>19098.0</v>
      </c>
      <c r="H37" s="134">
        <v>8703.0</v>
      </c>
      <c r="I37" s="134">
        <v>9581.0</v>
      </c>
      <c r="J37" s="136">
        <f>G37+I37-H37</f>
        <v>19976</v>
      </c>
      <c r="L37" s="19" t="s">
        <v>164</v>
      </c>
      <c r="M37" s="132">
        <f>((G7/E7)^(1/2))-1</f>
        <v>0.05038387534</v>
      </c>
      <c r="N37" s="132">
        <f>((G38/E38)^(1/2))-1</f>
        <v>0.1140047493</v>
      </c>
      <c r="O37" s="135">
        <f>((G62/E62)^(1/2))-1</f>
        <v>-0.0686305457</v>
      </c>
      <c r="P37" s="119">
        <f>((G49/E49)^(1/2))-1</f>
        <v>0.1883501025</v>
      </c>
    </row>
    <row r="38" ht="15.75" customHeight="1">
      <c r="A38" s="19" t="s">
        <v>165</v>
      </c>
      <c r="B38" s="133">
        <f>(N22-N7)/J38</f>
        <v>0.4379339734</v>
      </c>
      <c r="C38" s="127"/>
      <c r="D38" s="32" t="s">
        <v>166</v>
      </c>
      <c r="E38" s="33">
        <f t="shared" ref="E38:J38" si="21">E34+E37</f>
        <v>64575</v>
      </c>
      <c r="F38" s="33">
        <f t="shared" si="21"/>
        <v>72685</v>
      </c>
      <c r="G38" s="33">
        <f t="shared" si="21"/>
        <v>80138</v>
      </c>
      <c r="H38" s="33">
        <f t="shared" si="21"/>
        <v>38744</v>
      </c>
      <c r="I38" s="33">
        <f t="shared" si="21"/>
        <v>38392</v>
      </c>
      <c r="J38" s="42">
        <f t="shared" si="21"/>
        <v>79786</v>
      </c>
      <c r="L38" s="32" t="s">
        <v>167</v>
      </c>
      <c r="M38" s="74"/>
      <c r="N38" s="74"/>
      <c r="O38" s="74"/>
      <c r="P38" s="75"/>
    </row>
    <row r="39" ht="15.75" customHeight="1">
      <c r="A39" s="19"/>
      <c r="B39" s="75"/>
      <c r="C39" s="127"/>
      <c r="D39" s="76" t="s">
        <v>143</v>
      </c>
      <c r="E39" s="90">
        <f t="shared" ref="E39:J39" si="22">E38/E7</f>
        <v>0.1700138486</v>
      </c>
      <c r="F39" s="90">
        <f t="shared" si="22"/>
        <v>0.1813172284</v>
      </c>
      <c r="G39" s="90">
        <f t="shared" si="22"/>
        <v>0.191232759</v>
      </c>
      <c r="H39" s="90">
        <f t="shared" si="22"/>
        <v>0.1925646123</v>
      </c>
      <c r="I39" s="90">
        <f t="shared" si="22"/>
        <v>0.1870462939</v>
      </c>
      <c r="J39" s="77">
        <f t="shared" si="22"/>
        <v>0.1885685654</v>
      </c>
      <c r="L39" s="19" t="s">
        <v>161</v>
      </c>
      <c r="M39" s="132">
        <f>((F71/G7)^(1/1))-1</f>
        <v>0.0487495824</v>
      </c>
      <c r="N39" s="135">
        <f>((F73/G38)^(1/1))-1</f>
        <v>-0.06782050962</v>
      </c>
      <c r="O39" s="135">
        <f>((F79/G62)^(1/1))-1</f>
        <v>-0.02395851594</v>
      </c>
      <c r="P39" s="137">
        <f>((F77/G49)^(1/1))-1</f>
        <v>-0.01003230484</v>
      </c>
    </row>
    <row r="40" ht="15.75" customHeight="1">
      <c r="A40" s="32" t="s">
        <v>215</v>
      </c>
      <c r="B40" s="75"/>
      <c r="C40" s="127"/>
      <c r="D40" s="19"/>
      <c r="E40" s="74"/>
      <c r="F40" s="74"/>
      <c r="G40" s="74"/>
      <c r="H40" s="74"/>
      <c r="I40" s="74"/>
      <c r="J40" s="75"/>
      <c r="L40" s="19" t="s">
        <v>164</v>
      </c>
      <c r="M40" s="132">
        <f>((G71/G7)^(1/2))-1</f>
        <v>0.0508102884</v>
      </c>
      <c r="N40" s="135">
        <f>((G73/G38)^(1/2))-1</f>
        <v>-0.01937967998</v>
      </c>
      <c r="O40" s="132">
        <f>((G79/G62)^(1/2))-1</f>
        <v>0.0112548785</v>
      </c>
      <c r="P40" s="119">
        <f>((G77/G49)^(1/2))-1</f>
        <v>0.03177910044</v>
      </c>
    </row>
    <row r="41" ht="15.75" customHeight="1">
      <c r="A41" s="19" t="s">
        <v>169</v>
      </c>
      <c r="B41" s="133">
        <f>J38/4508</f>
        <v>17.69875776</v>
      </c>
      <c r="C41" s="127"/>
      <c r="D41" s="19" t="s">
        <v>170</v>
      </c>
      <c r="E41" s="45">
        <f t="shared" ref="E41:J41" si="23">E17</f>
        <v>23118</v>
      </c>
      <c r="F41" s="45">
        <f t="shared" si="23"/>
        <v>25743</v>
      </c>
      <c r="G41" s="45">
        <f t="shared" si="23"/>
        <v>30128</v>
      </c>
      <c r="H41" s="45">
        <f t="shared" si="23"/>
        <v>14948</v>
      </c>
      <c r="I41" s="45">
        <f t="shared" si="23"/>
        <v>14610</v>
      </c>
      <c r="J41" s="46">
        <f t="shared" si="23"/>
        <v>29790</v>
      </c>
      <c r="L41" s="82" t="s">
        <v>216</v>
      </c>
      <c r="M41" s="138"/>
      <c r="N41" s="138"/>
      <c r="O41" s="138"/>
      <c r="P41" s="123">
        <v>0.112</v>
      </c>
    </row>
    <row r="42" ht="15.75" customHeight="1">
      <c r="A42" s="19" t="s">
        <v>173</v>
      </c>
      <c r="B42" s="133">
        <f>(J38-J58)/4508</f>
        <v>14.15039929</v>
      </c>
      <c r="C42" s="127"/>
      <c r="D42" s="19" t="s">
        <v>125</v>
      </c>
      <c r="E42" s="124" t="s">
        <v>80</v>
      </c>
      <c r="F42" s="124" t="s">
        <v>80</v>
      </c>
      <c r="G42" s="124" t="s">
        <v>80</v>
      </c>
      <c r="H42" s="124" t="s">
        <v>80</v>
      </c>
      <c r="I42" s="124" t="s">
        <v>80</v>
      </c>
      <c r="J42" s="21" t="s">
        <v>80</v>
      </c>
      <c r="L42" s="139" t="s">
        <v>174</v>
      </c>
    </row>
    <row r="43" ht="15.75" customHeight="1">
      <c r="A43" s="51" t="s">
        <v>175</v>
      </c>
      <c r="B43" s="141">
        <f>J34/4508</f>
        <v>13.2675244</v>
      </c>
      <c r="C43" s="128"/>
      <c r="D43" s="19" t="s">
        <v>152</v>
      </c>
      <c r="E43" s="124" t="s">
        <v>80</v>
      </c>
      <c r="F43" s="124" t="s">
        <v>80</v>
      </c>
      <c r="G43" s="124" t="s">
        <v>80</v>
      </c>
      <c r="H43" s="124" t="s">
        <v>80</v>
      </c>
      <c r="I43" s="124" t="s">
        <v>80</v>
      </c>
      <c r="J43" s="21" t="s">
        <v>80</v>
      </c>
      <c r="L43" s="142" t="s">
        <v>217</v>
      </c>
    </row>
    <row r="44" ht="15.75" customHeight="1">
      <c r="A44" s="139" t="s">
        <v>177</v>
      </c>
      <c r="C44" s="125" t="s">
        <v>151</v>
      </c>
      <c r="D44" s="19" t="s">
        <v>178</v>
      </c>
      <c r="E44" s="114">
        <v>-3152.0</v>
      </c>
      <c r="F44" s="114">
        <v>1104.0</v>
      </c>
      <c r="G44" s="114">
        <v>-1093.0</v>
      </c>
      <c r="H44" s="114">
        <v>-545.0</v>
      </c>
      <c r="I44" s="114">
        <v>-372.0</v>
      </c>
      <c r="J44" s="99">
        <f t="shared" ref="J44:J45" si="24">G44+I44-H44</f>
        <v>-920</v>
      </c>
    </row>
    <row r="45" ht="15.75" customHeight="1">
      <c r="A45" s="142" t="s">
        <v>218</v>
      </c>
      <c r="C45" s="125" t="s">
        <v>180</v>
      </c>
      <c r="D45" s="51" t="s">
        <v>181</v>
      </c>
      <c r="E45" s="80">
        <v>788.0</v>
      </c>
      <c r="F45" s="52">
        <v>-276.0</v>
      </c>
      <c r="G45" s="80">
        <v>273.3</v>
      </c>
      <c r="H45" s="80">
        <v>136.3</v>
      </c>
      <c r="I45" s="52">
        <v>93.0</v>
      </c>
      <c r="J45" s="55">
        <f t="shared" si="24"/>
        <v>230</v>
      </c>
    </row>
    <row r="46" ht="15.75" customHeight="1">
      <c r="D46" s="32" t="s">
        <v>182</v>
      </c>
      <c r="E46" s="33">
        <f t="shared" ref="E46:J46" si="25">E41+E44+E45</f>
        <v>20754</v>
      </c>
      <c r="F46" s="33">
        <f t="shared" si="25"/>
        <v>26571</v>
      </c>
      <c r="G46" s="33">
        <f t="shared" si="25"/>
        <v>29308.3</v>
      </c>
      <c r="H46" s="33">
        <f t="shared" si="25"/>
        <v>14539.3</v>
      </c>
      <c r="I46" s="33">
        <f t="shared" si="25"/>
        <v>14331</v>
      </c>
      <c r="J46" s="42">
        <f t="shared" si="25"/>
        <v>29100</v>
      </c>
    </row>
    <row r="47" ht="15.75" customHeight="1">
      <c r="D47" s="76" t="s">
        <v>143</v>
      </c>
      <c r="E47" s="90">
        <f t="shared" ref="E47:J47" si="26">E46/E7</f>
        <v>0.05464138465</v>
      </c>
      <c r="F47" s="90">
        <f t="shared" si="26"/>
        <v>0.06628300305</v>
      </c>
      <c r="G47" s="90">
        <f t="shared" si="26"/>
        <v>0.06993819501</v>
      </c>
      <c r="H47" s="90">
        <f t="shared" si="26"/>
        <v>0.07226292247</v>
      </c>
      <c r="I47" s="90">
        <f t="shared" si="26"/>
        <v>0.06982080739</v>
      </c>
      <c r="J47" s="77">
        <f t="shared" si="26"/>
        <v>0.06877579092</v>
      </c>
    </row>
    <row r="48" ht="15.75" customHeight="1">
      <c r="D48" s="19"/>
      <c r="E48" s="74"/>
      <c r="F48" s="74"/>
      <c r="G48" s="74"/>
      <c r="H48" s="74"/>
      <c r="I48" s="74"/>
      <c r="J48" s="75"/>
    </row>
    <row r="49" ht="15.75" customHeight="1">
      <c r="D49" s="143" t="s">
        <v>185</v>
      </c>
      <c r="E49" s="144">
        <f t="shared" ref="E49:J49" si="27">E46/E20</f>
        <v>3.512138658</v>
      </c>
      <c r="F49" s="144">
        <f t="shared" si="27"/>
        <v>4.496532537</v>
      </c>
      <c r="G49" s="144">
        <f t="shared" si="27"/>
        <v>4.959757802</v>
      </c>
      <c r="H49" s="144">
        <f t="shared" si="27"/>
        <v>2.460443172</v>
      </c>
      <c r="I49" s="144">
        <f t="shared" si="27"/>
        <v>2.425193173</v>
      </c>
      <c r="J49" s="145">
        <f t="shared" si="27"/>
        <v>4.924507803</v>
      </c>
    </row>
    <row r="50" ht="15.75" customHeight="1">
      <c r="D50" s="139" t="s">
        <v>177</v>
      </c>
    </row>
    <row r="51" ht="15.75" customHeight="1">
      <c r="D51" s="142" t="s">
        <v>219</v>
      </c>
    </row>
    <row r="52" ht="15.75" customHeight="1">
      <c r="D52" s="142" t="s">
        <v>220</v>
      </c>
    </row>
    <row r="53" ht="15.75" customHeight="1">
      <c r="D53" s="146"/>
    </row>
    <row r="54" ht="15.75" customHeight="1">
      <c r="D54" s="166" t="s">
        <v>188</v>
      </c>
      <c r="E54" s="4"/>
      <c r="F54" s="4"/>
      <c r="G54" s="4"/>
      <c r="H54" s="4"/>
      <c r="I54" s="4"/>
      <c r="J54" s="5"/>
    </row>
    <row r="55" ht="15.75" customHeight="1">
      <c r="D55" s="167" t="s">
        <v>13</v>
      </c>
      <c r="E55" s="8"/>
      <c r="F55" s="8"/>
      <c r="G55" s="8"/>
      <c r="H55" s="8"/>
      <c r="I55" s="8"/>
      <c r="J55" s="10"/>
    </row>
    <row r="56" ht="15.75" customHeight="1">
      <c r="D56" s="19"/>
      <c r="E56" s="27" t="s">
        <v>19</v>
      </c>
      <c r="F56" s="27" t="s">
        <v>21</v>
      </c>
      <c r="G56" s="27" t="s">
        <v>23</v>
      </c>
      <c r="H56" s="27" t="s">
        <v>24</v>
      </c>
      <c r="I56" s="27" t="s">
        <v>25</v>
      </c>
      <c r="J56" s="29" t="s">
        <v>27</v>
      </c>
    </row>
    <row r="57" ht="15.75" customHeight="1">
      <c r="D57" s="19" t="s">
        <v>189</v>
      </c>
      <c r="E57" s="45">
        <v>71304.0</v>
      </c>
      <c r="F57" s="45">
        <v>58143.0</v>
      </c>
      <c r="G57" s="45">
        <v>64876.0</v>
      </c>
      <c r="H57" s="45">
        <v>38284.0</v>
      </c>
      <c r="I57" s="45">
        <v>19860.0</v>
      </c>
      <c r="J57" s="46">
        <f t="shared" ref="J57:J58" si="28">G57+I57-H57</f>
        <v>46452</v>
      </c>
    </row>
    <row r="58" ht="15.75" customHeight="1">
      <c r="C58" s="128"/>
      <c r="D58" s="19" t="s">
        <v>190</v>
      </c>
      <c r="E58" s="56">
        <v>15748.0</v>
      </c>
      <c r="F58" s="56">
        <v>16688.0</v>
      </c>
      <c r="G58" s="56">
        <v>16684.0</v>
      </c>
      <c r="H58" s="56">
        <v>6304.0</v>
      </c>
      <c r="I58" s="56">
        <v>5616.0</v>
      </c>
      <c r="J58" s="58">
        <f t="shared" si="28"/>
        <v>15996</v>
      </c>
    </row>
    <row r="59" ht="15.75" customHeight="1">
      <c r="D59" s="93" t="s">
        <v>191</v>
      </c>
      <c r="E59" s="147">
        <f t="shared" ref="E59:J59" si="29">E58/E7</f>
        <v>0.04146152672</v>
      </c>
      <c r="F59" s="147">
        <f t="shared" si="29"/>
        <v>0.04162924824</v>
      </c>
      <c r="G59" s="147">
        <f t="shared" si="29"/>
        <v>0.03981291462</v>
      </c>
      <c r="H59" s="147">
        <f t="shared" si="29"/>
        <v>0.03133200795</v>
      </c>
      <c r="I59" s="147">
        <f t="shared" si="29"/>
        <v>0.02736122073</v>
      </c>
      <c r="J59" s="148">
        <f t="shared" si="29"/>
        <v>0.03780541414</v>
      </c>
    </row>
    <row r="60" ht="15.75" customHeight="1">
      <c r="D60" s="32" t="s">
        <v>193</v>
      </c>
      <c r="E60" s="33">
        <f t="shared" ref="E60:J60" si="30">E57-E58</f>
        <v>55556</v>
      </c>
      <c r="F60" s="33">
        <f t="shared" si="30"/>
        <v>41455</v>
      </c>
      <c r="G60" s="33">
        <f t="shared" si="30"/>
        <v>48192</v>
      </c>
      <c r="H60" s="33">
        <f t="shared" si="30"/>
        <v>31980</v>
      </c>
      <c r="I60" s="33">
        <f t="shared" si="30"/>
        <v>14244</v>
      </c>
      <c r="J60" s="42">
        <f t="shared" si="30"/>
        <v>30456</v>
      </c>
    </row>
    <row r="61" ht="15.75" customHeight="1">
      <c r="D61" s="76" t="s">
        <v>143</v>
      </c>
      <c r="E61" s="90">
        <f t="shared" ref="E61:J61" si="31">E60/E7</f>
        <v>0.1462685153</v>
      </c>
      <c r="F61" s="90">
        <f t="shared" si="31"/>
        <v>0.1034120617</v>
      </c>
      <c r="G61" s="90">
        <f t="shared" si="31"/>
        <v>0.1150002386</v>
      </c>
      <c r="H61" s="90">
        <f t="shared" si="31"/>
        <v>0.1589463221</v>
      </c>
      <c r="I61" s="90">
        <f t="shared" si="31"/>
        <v>0.06939694233</v>
      </c>
      <c r="J61" s="77">
        <f t="shared" si="31"/>
        <v>0.07198060097</v>
      </c>
    </row>
    <row r="62" ht="15.75" customHeight="1">
      <c r="D62" s="32" t="s">
        <v>195</v>
      </c>
      <c r="E62" s="33">
        <f t="shared" ref="E62:J62" si="32">E60/E20</f>
        <v>9.401579227</v>
      </c>
      <c r="F62" s="33">
        <f t="shared" si="32"/>
        <v>7.015308281</v>
      </c>
      <c r="G62" s="33">
        <f t="shared" si="32"/>
        <v>8.155391067</v>
      </c>
      <c r="H62" s="33">
        <f t="shared" si="32"/>
        <v>5.411881771</v>
      </c>
      <c r="I62" s="33">
        <f t="shared" si="32"/>
        <v>2.410470417</v>
      </c>
      <c r="J62" s="42">
        <f t="shared" si="32"/>
        <v>5.153979713</v>
      </c>
    </row>
    <row r="63" ht="15.75" customHeight="1">
      <c r="D63" s="19"/>
      <c r="E63" s="74"/>
      <c r="F63" s="74"/>
      <c r="G63" s="74"/>
      <c r="H63" s="74"/>
      <c r="I63" s="74"/>
      <c r="J63" s="75"/>
    </row>
    <row r="64" ht="15.75" customHeight="1">
      <c r="D64" s="19" t="s">
        <v>163</v>
      </c>
      <c r="E64" s="45">
        <f t="shared" ref="E64:J64" si="33">E37</f>
        <v>16164</v>
      </c>
      <c r="F64" s="45">
        <f t="shared" si="33"/>
        <v>16893</v>
      </c>
      <c r="G64" s="45">
        <f t="shared" si="33"/>
        <v>19098</v>
      </c>
      <c r="H64" s="45">
        <f t="shared" si="33"/>
        <v>8703</v>
      </c>
      <c r="I64" s="45">
        <f t="shared" si="33"/>
        <v>9581</v>
      </c>
      <c r="J64" s="46">
        <f t="shared" si="33"/>
        <v>19976</v>
      </c>
    </row>
    <row r="65" ht="15.75" customHeight="1">
      <c r="D65" s="93" t="s">
        <v>191</v>
      </c>
      <c r="E65" s="147">
        <f t="shared" ref="E65:J65" si="34">E64/E7</f>
        <v>0.0425567766</v>
      </c>
      <c r="F65" s="147">
        <f t="shared" si="34"/>
        <v>0.04214063342</v>
      </c>
      <c r="G65" s="147">
        <f t="shared" si="34"/>
        <v>0.04557342624</v>
      </c>
      <c r="H65" s="147">
        <f t="shared" si="34"/>
        <v>0.0432554672</v>
      </c>
      <c r="I65" s="147">
        <f t="shared" si="34"/>
        <v>0.04667874926</v>
      </c>
      <c r="J65" s="148">
        <f t="shared" si="34"/>
        <v>0.04721186252</v>
      </c>
    </row>
    <row r="66" ht="15.75" customHeight="1">
      <c r="D66" s="139"/>
      <c r="E66" s="139"/>
      <c r="F66" s="139"/>
      <c r="G66" s="139"/>
      <c r="H66" s="139"/>
      <c r="I66" s="139"/>
      <c r="J66" s="139"/>
    </row>
    <row r="67" ht="15.75" customHeight="1">
      <c r="D67" s="166" t="s">
        <v>197</v>
      </c>
      <c r="E67" s="4"/>
      <c r="F67" s="4"/>
      <c r="G67" s="4"/>
      <c r="H67" s="5"/>
      <c r="I67" s="139"/>
      <c r="J67" s="139"/>
    </row>
    <row r="68" ht="15.75" customHeight="1">
      <c r="D68" s="167" t="s">
        <v>13</v>
      </c>
      <c r="E68" s="8"/>
      <c r="F68" s="8"/>
      <c r="G68" s="8"/>
      <c r="H68" s="10"/>
    </row>
    <row r="69" ht="15.75" customHeight="1">
      <c r="D69" s="19"/>
      <c r="E69" s="27" t="s">
        <v>32</v>
      </c>
      <c r="F69" s="27" t="s">
        <v>37</v>
      </c>
      <c r="G69" s="27" t="s">
        <v>39</v>
      </c>
      <c r="H69" s="29" t="s">
        <v>198</v>
      </c>
    </row>
    <row r="70" ht="15.75" customHeight="1">
      <c r="D70" s="150" t="s">
        <v>199</v>
      </c>
      <c r="E70" s="151">
        <f t="shared" ref="E70:H70" si="35">$B$26/E71</f>
        <v>0.9222552125</v>
      </c>
      <c r="F70" s="151">
        <f t="shared" si="35"/>
        <v>0.8878927391</v>
      </c>
      <c r="G70" s="151">
        <f t="shared" si="35"/>
        <v>0.8433030534</v>
      </c>
      <c r="H70" s="152">
        <f t="shared" si="35"/>
        <v>0.7867082487</v>
      </c>
    </row>
    <row r="71" ht="15.75" customHeight="1">
      <c r="D71" s="153" t="s">
        <v>200</v>
      </c>
      <c r="E71" s="45">
        <f>J7</f>
        <v>423114</v>
      </c>
      <c r="F71" s="45">
        <v>439489.0</v>
      </c>
      <c r="G71" s="45">
        <v>462727.0</v>
      </c>
      <c r="H71" s="46">
        <v>496015.0</v>
      </c>
    </row>
    <row r="72" ht="15.75" customHeight="1">
      <c r="D72" s="150" t="s">
        <v>12</v>
      </c>
      <c r="E72" s="151">
        <f t="shared" ref="E72:H72" si="36">$B$26/E73</f>
        <v>4.890821598</v>
      </c>
      <c r="F72" s="151">
        <f t="shared" si="36"/>
        <v>5.223606709</v>
      </c>
      <c r="G72" s="151">
        <f t="shared" si="36"/>
        <v>5.063703148</v>
      </c>
      <c r="H72" s="152">
        <f t="shared" si="36"/>
        <v>4.390601422</v>
      </c>
    </row>
    <row r="73" ht="15.75" customHeight="1">
      <c r="D73" s="153" t="s">
        <v>200</v>
      </c>
      <c r="E73" s="45">
        <f>J38</f>
        <v>79786</v>
      </c>
      <c r="F73" s="45">
        <v>74703.0</v>
      </c>
      <c r="G73" s="45">
        <v>77062.0</v>
      </c>
      <c r="H73" s="46">
        <v>88876.0</v>
      </c>
    </row>
    <row r="74" ht="15.75" customHeight="1">
      <c r="D74" s="150" t="s">
        <v>202</v>
      </c>
      <c r="E74" s="151">
        <f t="shared" ref="E74:H74" si="37">$B$26/E75</f>
        <v>6.524311854</v>
      </c>
      <c r="F74" s="151">
        <f t="shared" si="37"/>
        <v>6.590870723</v>
      </c>
      <c r="G74" s="151">
        <f t="shared" si="37"/>
        <v>6.244104906</v>
      </c>
      <c r="H74" s="152">
        <f t="shared" si="37"/>
        <v>5.85448655</v>
      </c>
    </row>
    <row r="75" ht="15.75" customHeight="1">
      <c r="D75" s="153" t="s">
        <v>200</v>
      </c>
      <c r="E75" s="45">
        <f>J34</f>
        <v>59810</v>
      </c>
      <c r="F75" s="45">
        <v>59206.0</v>
      </c>
      <c r="G75" s="45">
        <v>62494.0</v>
      </c>
      <c r="H75" s="46">
        <v>66653.0</v>
      </c>
    </row>
    <row r="76" ht="15.75" customHeight="1">
      <c r="D76" s="150" t="s">
        <v>16</v>
      </c>
      <c r="E76" s="151">
        <f t="shared" ref="E76:H76" si="38">$B$13/E77</f>
        <v>9.869006598</v>
      </c>
      <c r="F76" s="151">
        <f t="shared" si="38"/>
        <v>9.898167006</v>
      </c>
      <c r="G76" s="151">
        <f t="shared" si="38"/>
        <v>9.204545455</v>
      </c>
      <c r="H76" s="152">
        <f t="shared" si="38"/>
        <v>8.632326821</v>
      </c>
    </row>
    <row r="77" ht="15.75" customHeight="1">
      <c r="C77" s="125" t="s">
        <v>151</v>
      </c>
      <c r="D77" s="153" t="s">
        <v>200</v>
      </c>
      <c r="E77" s="45">
        <f>J49</f>
        <v>4.924507803</v>
      </c>
      <c r="F77" s="45">
        <v>4.91</v>
      </c>
      <c r="G77" s="45">
        <v>5.28</v>
      </c>
      <c r="H77" s="168">
        <v>5.63</v>
      </c>
    </row>
    <row r="78" ht="15.75" customHeight="1">
      <c r="D78" s="150" t="s">
        <v>20</v>
      </c>
      <c r="E78" s="156">
        <f t="shared" ref="E78:H78" si="39">E79/$B$13</f>
        <v>0.1060489653</v>
      </c>
      <c r="F78" s="156">
        <f t="shared" si="39"/>
        <v>0.1637860082</v>
      </c>
      <c r="G78" s="156">
        <f t="shared" si="39"/>
        <v>0.1716049383</v>
      </c>
      <c r="H78" s="157">
        <f t="shared" si="39"/>
        <v>0.1833333333</v>
      </c>
    </row>
    <row r="79" ht="15.75" customHeight="1">
      <c r="C79" s="125" t="s">
        <v>180</v>
      </c>
      <c r="D79" s="158" t="s">
        <v>200</v>
      </c>
      <c r="E79" s="161">
        <f>J62</f>
        <v>5.153979713</v>
      </c>
      <c r="F79" s="161">
        <v>7.96</v>
      </c>
      <c r="G79" s="161">
        <v>8.34</v>
      </c>
      <c r="H79" s="162">
        <v>8.91</v>
      </c>
    </row>
    <row r="80" ht="15.75" customHeight="1">
      <c r="D80" s="139" t="s">
        <v>177</v>
      </c>
    </row>
    <row r="81" ht="15.75" customHeight="1">
      <c r="D81" s="139" t="s">
        <v>221</v>
      </c>
    </row>
    <row r="82" ht="15.75" customHeight="1">
      <c r="D82" s="142" t="s">
        <v>222</v>
      </c>
    </row>
    <row r="83" ht="15.75" customHeight="1"/>
    <row r="84" ht="15.75" customHeight="1">
      <c r="F84" s="163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1:P1"/>
    <mergeCell ref="A2:P2"/>
    <mergeCell ref="A4:B4"/>
    <mergeCell ref="D4:J4"/>
    <mergeCell ref="L4:N4"/>
    <mergeCell ref="D5:J5"/>
    <mergeCell ref="L5:N5"/>
    <mergeCell ref="A11:B11"/>
    <mergeCell ref="A12:B12"/>
    <mergeCell ref="D23:J23"/>
    <mergeCell ref="D24:J24"/>
    <mergeCell ref="A28:B28"/>
    <mergeCell ref="L33:P33"/>
    <mergeCell ref="A34:B34"/>
    <mergeCell ref="D53:J53"/>
    <mergeCell ref="D54:J54"/>
    <mergeCell ref="D55:J55"/>
    <mergeCell ref="D67:H67"/>
    <mergeCell ref="D68:H68"/>
    <mergeCell ref="D80:H80"/>
    <mergeCell ref="D81:H81"/>
    <mergeCell ref="D82:H82"/>
    <mergeCell ref="L42:P42"/>
    <mergeCell ref="L43:P43"/>
    <mergeCell ref="A44:B44"/>
    <mergeCell ref="A45:B45"/>
    <mergeCell ref="D50:J50"/>
    <mergeCell ref="D51:J51"/>
    <mergeCell ref="D52:J52"/>
  </mergeCells>
  <drawing r:id="rId1"/>
</worksheet>
</file>