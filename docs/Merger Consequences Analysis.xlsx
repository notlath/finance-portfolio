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A" sheetId="1" r:id="rId5"/>
  </sheets>
  <definedNames/>
  <calcPr/>
</workbook>
</file>

<file path=xl/sharedStrings.xml><?xml version="1.0" encoding="utf-8"?>
<sst xmlns="http://schemas.openxmlformats.org/spreadsheetml/2006/main" count="221" uniqueCount="202">
  <si>
    <t>Megaworld Acquisition of Filinvest Land</t>
  </si>
  <si>
    <t>Merger Consequences Analysis</t>
  </si>
  <si>
    <t>(₱ in millions except per share data; fiscal year ending December 31)</t>
  </si>
  <si>
    <r>
      <rPr>
        <rFont val="Arial"/>
        <b/>
        <color rgb="FFFFFFFF"/>
      </rPr>
      <t>Baseline Market Data</t>
    </r>
    <r>
      <rPr>
        <rFont val="Arial"/>
        <b val="0"/>
        <color rgb="FFFFFFFF"/>
      </rPr>
      <t xml:space="preserve"> </t>
    </r>
    <r>
      <rPr>
        <rFont val="Arial"/>
        <b val="0"/>
        <i/>
        <color rgb="FFFFFFFF"/>
      </rPr>
      <t>(As of October 9, 2026)</t>
    </r>
  </si>
  <si>
    <t>Acquirer Share Issuance &amp; Shareholder Dilution</t>
  </si>
  <si>
    <t>Sources and Uses of Funds</t>
  </si>
  <si>
    <r>
      <rPr>
        <rFont val="Arial"/>
        <b/>
        <color rgb="FFFFFFFF"/>
      </rPr>
      <t xml:space="preserve">Pro Forma Balance Sheet </t>
    </r>
    <r>
      <rPr>
        <rFont val="Arial"/>
        <b val="0"/>
        <i/>
        <color rgb="FFFFFFFF"/>
      </rPr>
      <t>(As of June 30, 2026)</t>
    </r>
  </si>
  <si>
    <t>Share Count &amp; Accretion / Dilution Output</t>
  </si>
  <si>
    <r>
      <rPr>
        <rFont val="Arial"/>
        <b/>
        <color theme="1"/>
      </rPr>
      <t xml:space="preserve">Megaworld (MEG)
</t>
    </r>
    <r>
      <rPr>
        <rFont val="Arial"/>
        <b/>
        <i/>
        <color theme="1"/>
      </rPr>
      <t>Acquirer</t>
    </r>
  </si>
  <si>
    <r>
      <rPr>
        <rFont val="Arial"/>
        <b/>
        <color theme="1"/>
      </rPr>
      <t xml:space="preserve">Filinvest Land (FLI)
</t>
    </r>
    <r>
      <rPr>
        <rFont val="Arial"/>
        <b/>
        <i/>
        <color theme="1"/>
      </rPr>
      <t>Target</t>
    </r>
  </si>
  <si>
    <t>Source Reference</t>
  </si>
  <si>
    <t>Acquirer Share Price</t>
  </si>
  <si>
    <t>Amount</t>
  </si>
  <si>
    <t>% of Total</t>
  </si>
  <si>
    <t>MEG</t>
  </si>
  <si>
    <t>FLI</t>
  </si>
  <si>
    <t>Adjustment</t>
  </si>
  <si>
    <t>Pro Forma</t>
  </si>
  <si>
    <t>FY 2026E</t>
  </si>
  <si>
    <t>FY 2027E</t>
  </si>
  <si>
    <t>FY 2028E</t>
  </si>
  <si>
    <t>Share Price</t>
  </si>
  <si>
    <t>PSE Market Data</t>
  </si>
  <si>
    <t>Target's Equity Purchase Price</t>
  </si>
  <si>
    <t>Cash &amp; Cash Equivalents</t>
  </si>
  <si>
    <t>MEG Standalone Diluted Share Count</t>
  </si>
  <si>
    <t>Common Shares Outstanding</t>
  </si>
  <si>
    <t>17-Q (Q2) 2026</t>
  </si>
  <si>
    <t>MEG Shares Issued</t>
  </si>
  <si>
    <r>
      <rPr>
        <rFont val="Arial"/>
        <color theme="1"/>
      </rPr>
      <t xml:space="preserve">Refinanced Target Debt </t>
    </r>
    <r>
      <rPr>
        <rFont val="Arial"/>
        <i/>
        <color theme="1"/>
      </rPr>
      <t>(1)</t>
    </r>
  </si>
  <si>
    <t>Trade &amp; Other Receivables, net</t>
  </si>
  <si>
    <t xml:space="preserve">   MEG Standalone EPS</t>
  </si>
  <si>
    <t>Market Capitalization</t>
  </si>
  <si>
    <t>MEG Pre-Deal Common Shares</t>
  </si>
  <si>
    <r>
      <rPr>
        <rFont val="Arial"/>
        <color theme="1"/>
      </rPr>
      <t xml:space="preserve">M&amp;A Advisory and Legal Fees </t>
    </r>
    <r>
      <rPr>
        <rFont val="Arial"/>
        <i/>
        <color theme="1"/>
      </rPr>
      <t>(2)</t>
    </r>
  </si>
  <si>
    <t>Contract Assets (current and non-current)</t>
  </si>
  <si>
    <t>Pro Forma Common Shares</t>
  </si>
  <si>
    <r>
      <rPr>
        <rFont val="Arial"/>
        <color theme="1"/>
      </rPr>
      <t xml:space="preserve">Debt Financing Fees </t>
    </r>
    <r>
      <rPr>
        <rFont val="Arial"/>
        <i/>
        <color theme="1"/>
      </rPr>
      <t>(3)</t>
    </r>
  </si>
  <si>
    <t>Real Estate Inventories</t>
  </si>
  <si>
    <t>New MEG Shares Issued to Target</t>
  </si>
  <si>
    <r>
      <rPr>
        <rFont val="Arial"/>
        <b/>
        <color rgb="FFFFFFFF"/>
      </rPr>
      <t>Latest Balance Sheet Metrics</t>
    </r>
    <r>
      <rPr>
        <rFont val="Arial"/>
        <b val="0"/>
        <color rgb="FFFFFFFF"/>
      </rPr>
      <t xml:space="preserve"> </t>
    </r>
    <r>
      <rPr>
        <rFont val="Arial"/>
        <b val="0"/>
        <i/>
        <color rgb="FFFFFFFF"/>
      </rPr>
      <t>(As of June 30, 2026)</t>
    </r>
  </si>
  <si>
    <t>Total Uses of Funds</t>
  </si>
  <si>
    <t>Investment Properties, net</t>
  </si>
  <si>
    <t>Pro Forma Diluted Share Count</t>
  </si>
  <si>
    <t>Megaworld (MEG)</t>
  </si>
  <si>
    <t>Filinvest Land (FLI)</t>
  </si>
  <si>
    <t>Filinvest Details /
Line Items</t>
  </si>
  <si>
    <t>Target Ownership in Combined Equity</t>
  </si>
  <si>
    <t>Property &amp; Equipment, net</t>
  </si>
  <si>
    <r>
      <rPr>
        <rFont val="Arial"/>
        <color theme="1"/>
      </rPr>
      <t xml:space="preserve">Exchange Ratio </t>
    </r>
    <r>
      <rPr>
        <rFont val="Arial"/>
        <i/>
        <color theme="1"/>
      </rPr>
      <t>(1)</t>
    </r>
  </si>
  <si>
    <t>New Term Debt Issued</t>
  </si>
  <si>
    <t>Goodwill</t>
  </si>
  <si>
    <t>Pro Forma EPS</t>
  </si>
  <si>
    <t>Note:</t>
  </si>
  <si>
    <t>MEG Common Stock Issued</t>
  </si>
  <si>
    <t>Other Assets (current and non-current)</t>
  </si>
  <si>
    <t xml:space="preserve">   EPS Accretion / (Dilution) (₱)</t>
  </si>
  <si>
    <t>Current Debt</t>
  </si>
  <si>
    <t>Loans: Php 10,740.26 M +
Bonds: Php 14,286.95 M</t>
  </si>
  <si>
    <t>(1) Each FLI shareholder receives ~0.25 MEG shares
plus cash and debt consideration per share.</t>
  </si>
  <si>
    <r>
      <rPr>
        <rFont val="Arial"/>
        <color theme="1"/>
      </rPr>
      <t xml:space="preserve">Acquirer Cash on Hand </t>
    </r>
    <r>
      <rPr>
        <rFont val="Arial"/>
        <i/>
        <color theme="1"/>
      </rPr>
      <t>(4)</t>
    </r>
  </si>
  <si>
    <t>Total Assets</t>
  </si>
  <si>
    <t xml:space="preserve">   EPS Accretion / (Dilution) (%)</t>
  </si>
  <si>
    <t>Non-Current Debt</t>
  </si>
  <si>
    <t>Loans: Php 36,067.57 M + 
Bonds: Php 25,785.49 M</t>
  </si>
  <si>
    <t>Total Sources of Funds</t>
  </si>
  <si>
    <t>Total Debt</t>
  </si>
  <si>
    <t>Financing Rates, Tax, &amp; Transaction Fees</t>
  </si>
  <si>
    <t>Short-Term Debt &amp; Current Portions</t>
  </si>
  <si>
    <t>Acquisition Premium vs. Stock Consideration Mix: Sensitivity Analysis</t>
  </si>
  <si>
    <r>
      <rPr>
        <rFont val="Arial"/>
        <color theme="1"/>
      </rPr>
      <t xml:space="preserve">Pre-Tax Cost of New Debt </t>
    </r>
    <r>
      <rPr>
        <rFont val="Arial"/>
        <i/>
        <color theme="1"/>
      </rPr>
      <t>(1)</t>
    </r>
  </si>
  <si>
    <t>Balance Check</t>
  </si>
  <si>
    <t>Trade &amp; Other Payables (current)</t>
  </si>
  <si>
    <t>% Stock Consideration</t>
  </si>
  <si>
    <t>Net Debt</t>
  </si>
  <si>
    <r>
      <rPr>
        <rFont val="Arial"/>
        <color theme="1"/>
      </rPr>
      <t xml:space="preserve">Forgone Interest Rate on Cash </t>
    </r>
    <r>
      <rPr>
        <rFont val="Arial"/>
        <i/>
        <color theme="1"/>
      </rPr>
      <t>(2)</t>
    </r>
  </si>
  <si>
    <t>Notes:</t>
  </si>
  <si>
    <t>Other Current Liabilities</t>
  </si>
  <si>
    <t>Premium</t>
  </si>
  <si>
    <t>Marginal Corporate Tax Rate</t>
  </si>
  <si>
    <t>(1) Existing FLI debt is "assumed in place" instead of refinanced.</t>
  </si>
  <si>
    <t>Long-Term Debt (Loans and Bonds)</t>
  </si>
  <si>
    <t>Total Equity</t>
  </si>
  <si>
    <t xml:space="preserve">   After-Tax Cost of Debt</t>
  </si>
  <si>
    <t>(2) 1.5% of Equity Purchase Price (M&amp;A retainers, fairness opinion, legal).</t>
  </si>
  <si>
    <t>Deferred Tax Liabilities, net</t>
  </si>
  <si>
    <t>Parent Equity</t>
  </si>
  <si>
    <t>Excludes Non-Controlling
Interest</t>
  </si>
  <si>
    <t xml:space="preserve">   After-Tax Forgone Cash Yield</t>
  </si>
  <si>
    <t>(3) 1.0% of New Debt (syndication/underwriting).
(4) Cash consideration + M&amp;A advisory and legal fees + debt financing fees.</t>
  </si>
  <si>
    <t>Accounts Payable (non-current)</t>
  </si>
  <si>
    <t>Lease Liabilities (non-current)</t>
  </si>
  <si>
    <t>Consensus Projected Earnings</t>
  </si>
  <si>
    <r>
      <rPr>
        <rFont val="Arial"/>
        <color theme="1"/>
      </rPr>
      <t xml:space="preserve">Advisory &amp; Legal Fees (% of Eq Val) </t>
    </r>
    <r>
      <rPr>
        <rFont val="Arial"/>
        <i/>
        <color theme="1"/>
      </rPr>
      <t>(3)</t>
    </r>
  </si>
  <si>
    <t>Purchase Price Allocation</t>
  </si>
  <si>
    <t>Other Non-Current Liabilities</t>
  </si>
  <si>
    <r>
      <rPr>
        <rFont val="Arial"/>
        <color theme="1"/>
      </rPr>
      <t xml:space="preserve">Financing / Debt Issuance Fees (%) </t>
    </r>
    <r>
      <rPr>
        <rFont val="Arial"/>
        <i/>
        <color theme="1"/>
      </rPr>
      <t>(4)</t>
    </r>
  </si>
  <si>
    <t>Tangible Asset Write-Ups &amp; Deferred Tax Liability Build</t>
  </si>
  <si>
    <t>Total Liabilities</t>
  </si>
  <si>
    <t>MEG Net Sales</t>
  </si>
  <si>
    <r>
      <rPr>
        <rFont val="Arial"/>
        <color theme="1"/>
      </rPr>
      <t xml:space="preserve">Real-Estate Inventories Write-Up </t>
    </r>
    <r>
      <rPr>
        <rFont val="Arial"/>
        <i/>
        <color theme="1"/>
      </rPr>
      <t>(1)</t>
    </r>
  </si>
  <si>
    <t>(1) Output Metric: FY 2026E EPS Accretion / (Dilution) %</t>
  </si>
  <si>
    <t>MEG EBITDA</t>
  </si>
  <si>
    <t>(1) Calibrated against recent corporate bond and bank facility</t>
  </si>
  <si>
    <r>
      <rPr>
        <rFont val="Arial"/>
        <color theme="1"/>
      </rPr>
      <t xml:space="preserve">Investment Properties Write-Up </t>
    </r>
    <r>
      <rPr>
        <rFont val="Arial"/>
        <i/>
        <color theme="1"/>
      </rPr>
      <t>(2)</t>
    </r>
  </si>
  <si>
    <t>Common Stock</t>
  </si>
  <si>
    <t>(2) Cash consideration is maintained at 10.0% (0.0% at 100% stock), with New Debt absorbing the balancing percentage.</t>
  </si>
  <si>
    <t>MEG EBIT</t>
  </si>
  <si>
    <t>issuances from both companies in their filings (e.g., FLI’s fixed</t>
  </si>
  <si>
    <t>Total Pre-Tax Asset Write-Up</t>
  </si>
  <si>
    <t>Preferred Stock</t>
  </si>
  <si>
    <t>MEG Net Income (Parent)</t>
  </si>
  <si>
    <t>bonds issued at 6.29% to 6.98%, and MEG’s bank borrowing</t>
  </si>
  <si>
    <t>Marginal Tax Rate</t>
  </si>
  <si>
    <t>Additional Paid-in Capital (APIC)</t>
  </si>
  <si>
    <t>Annual Cost Synergies vs. Pre-Tax Borrowing Rate: Sensitivity Analysis</t>
  </si>
  <si>
    <t>MEG Consensus EPS</t>
  </si>
  <si>
    <t>terms).</t>
  </si>
  <si>
    <t>New Deferred Tax Liability</t>
  </si>
  <si>
    <t>Treasury Stock</t>
  </si>
  <si>
    <t>Pre-Tax Cost of New Debt</t>
  </si>
  <si>
    <t>(2) Note 5 of MEG’s 2025 17-A Audited Financial Statements cites</t>
  </si>
  <si>
    <t>Revaluation &amp; Other Reserves</t>
  </si>
  <si>
    <t>Pre-Tax Cost Synergies</t>
  </si>
  <si>
    <t>FLI Net Sales</t>
  </si>
  <si>
    <t>short-term placement yields earning between 0.50% and 6.25%</t>
  </si>
  <si>
    <t>Net After-Tax Asset Write-Up</t>
  </si>
  <si>
    <t>Retained Earnings</t>
  </si>
  <si>
    <t>FLI EBITDA</t>
  </si>
  <si>
    <t>(5.00% reflects the typical prevailing short-term BSP-anchored
time deposit rate).</t>
  </si>
  <si>
    <t xml:space="preserve">   Parent Equity Subtotal</t>
  </si>
  <si>
    <t>FLI EBIT</t>
  </si>
  <si>
    <t>(3) Standard 1.0%–2.0% investment banking, legal, accounting,
and fairness opinion advisory retainer/success fee for mid-cap</t>
  </si>
  <si>
    <t>Goodwill / (Bargain Purchase Gain) Calculation</t>
  </si>
  <si>
    <t>Non-Controlling Interest (NCI)</t>
  </si>
  <si>
    <t>FLI Net Income (Parent)</t>
  </si>
  <si>
    <t>Philippine transactions.</t>
  </si>
  <si>
    <t>FLI Consensus EPS</t>
  </si>
  <si>
    <t>(4) Standard arranger, underwriting, and syndication fee paid to</t>
  </si>
  <si>
    <t>creditor banks.</t>
  </si>
  <si>
    <t>FLI Historical Parent Equity</t>
  </si>
  <si>
    <t>Total Liabilities and Equity</t>
  </si>
  <si>
    <t>Target Valuation &amp; Purchase Price Build</t>
  </si>
  <si>
    <r>
      <rPr>
        <rFont val="Arial"/>
        <color theme="1"/>
      </rPr>
      <t xml:space="preserve">Less: FLI Historical Goodwill </t>
    </r>
    <r>
      <rPr>
        <rFont val="Arial"/>
        <i/>
        <color theme="1"/>
      </rPr>
      <t>(3)</t>
    </r>
  </si>
  <si>
    <t>(1) Output Metric: FY 2027E EPS Accretion / (Dilution) %</t>
  </si>
  <si>
    <t>Target Unaffected Share Price</t>
  </si>
  <si>
    <t>Synergy Targets (Baseline Estimates)</t>
  </si>
  <si>
    <t>Add: Net After-Tax Asset Write-Up</t>
  </si>
  <si>
    <r>
      <rPr>
        <rFont val="Arial"/>
        <color theme="1"/>
      </rPr>
      <t xml:space="preserve">Acquisition Premium </t>
    </r>
    <r>
      <rPr>
        <rFont val="Arial"/>
        <i/>
        <color theme="1"/>
      </rPr>
      <t>(1)</t>
    </r>
  </si>
  <si>
    <r>
      <rPr>
        <rFont val="Arial"/>
        <color theme="1"/>
      </rPr>
      <t xml:space="preserve">Pre-Tax Cost Synergies (Annual) </t>
    </r>
    <r>
      <rPr>
        <rFont val="Arial"/>
        <i/>
        <color theme="1"/>
      </rPr>
      <t>(1)</t>
    </r>
  </si>
  <si>
    <t>Net Identifiable Assets at Fair Value</t>
  </si>
  <si>
    <t>Offer Price per Share</t>
  </si>
  <si>
    <r>
      <rPr>
        <rFont val="Arial"/>
        <color theme="1"/>
      </rPr>
      <t xml:space="preserve">Synergy Realization - 2026E </t>
    </r>
    <r>
      <rPr>
        <rFont val="Arial"/>
        <i/>
        <color theme="1"/>
      </rPr>
      <t>(2)</t>
    </r>
  </si>
  <si>
    <t>Pro Forma Net Income Build</t>
  </si>
  <si>
    <t>Target Diluted Shares Outstanding</t>
  </si>
  <si>
    <r>
      <rPr>
        <rFont val="Arial"/>
        <color theme="1"/>
      </rPr>
      <t xml:space="preserve">Synergy Realization - 2027E </t>
    </r>
    <r>
      <rPr>
        <rFont val="Arial"/>
        <i/>
        <color theme="1"/>
      </rPr>
      <t>(3)</t>
    </r>
  </si>
  <si>
    <t>Goodwill / (Bargain Purchase Gain)</t>
  </si>
  <si>
    <r>
      <rPr>
        <rFont val="Arial"/>
        <b/>
        <color theme="1"/>
      </rPr>
      <t>Implied Equity Purchase Price</t>
    </r>
    <r>
      <rPr>
        <rFont val="Arial"/>
        <b val="0"/>
        <color theme="1"/>
      </rPr>
      <t xml:space="preserve"> </t>
    </r>
    <r>
      <rPr>
        <rFont val="Arial"/>
        <b val="0"/>
        <i/>
        <color theme="1"/>
      </rPr>
      <t>(2)</t>
    </r>
  </si>
  <si>
    <r>
      <rPr>
        <rFont val="Arial"/>
        <color theme="1"/>
      </rPr>
      <t xml:space="preserve">Synergy Realization - 2028E </t>
    </r>
    <r>
      <rPr>
        <rFont val="Arial"/>
        <i/>
        <color theme="1"/>
      </rPr>
      <t>(4)</t>
    </r>
  </si>
  <si>
    <t xml:space="preserve">   Pro Forma Goodwill to Balance Sheet</t>
  </si>
  <si>
    <t>MEG Standalone Net Income (Parent)</t>
  </si>
  <si>
    <t xml:space="preserve">   Bargain Purchase Gain to Equity</t>
  </si>
  <si>
    <t>FLI Standalone Net Income (Parent)</t>
  </si>
  <si>
    <t>(1) Median of a typical market control premium range of 20%-30% to incentivize FLI</t>
  </si>
  <si>
    <t>(1) SG&amp;A duplicate elimination (shared legal, procurement,</t>
  </si>
  <si>
    <t>Combined Standalone Net Income</t>
  </si>
  <si>
    <t>shareholders to tender.</t>
  </si>
  <si>
    <t>corporate overhead, listing redundancies). Represents ~14% of</t>
  </si>
  <si>
    <t>(1) Fair market adjustment to raw land &amp; WIP; estimate.</t>
  </si>
  <si>
    <t>(2) Represents the check the buyer writes to acquire 100% of the target's outstanding shares.</t>
  </si>
  <si>
    <t>FLI's standalone SG&amp;A (Php 4,539.88 M).</t>
  </si>
  <si>
    <t>(2) Step-up in office/retail leasable assets; estimate.</t>
  </si>
  <si>
    <t>Deal Adjustments:</t>
  </si>
  <si>
    <t>(2) Accounts for post-deal closing integration lag, severance,</t>
  </si>
  <si>
    <t>(3) Existing goodwill wiped out; has no fair value.</t>
  </si>
  <si>
    <t>Pre-Tax Cost Synergies Realized</t>
  </si>
  <si>
    <t>Acquisition Financing Mix &amp; Consideration</t>
  </si>
  <si>
    <t>and IT systems consolidation.</t>
  </si>
  <si>
    <t>Incremental Interest Expense on Debt</t>
  </si>
  <si>
    <t>% Mix</t>
  </si>
  <si>
    <t>Implied Value</t>
  </si>
  <si>
    <t>(3) Partial ramp-up as corporate teams merge.</t>
  </si>
  <si>
    <t>Amortization of Debt Financing Fees</t>
  </si>
  <si>
    <r>
      <rPr>
        <rFont val="Arial"/>
        <color theme="1"/>
      </rPr>
      <t xml:space="preserve">Cash Consideration </t>
    </r>
    <r>
      <rPr>
        <rFont val="Arial"/>
        <i/>
        <color theme="1"/>
      </rPr>
      <t>(1)</t>
    </r>
  </si>
  <si>
    <t>(4) Full run-rate operational optimization.</t>
  </si>
  <si>
    <t>Foregone Interest Income on Cash</t>
  </si>
  <si>
    <r>
      <rPr>
        <rFont val="Arial"/>
        <color theme="1"/>
      </rPr>
      <t xml:space="preserve">New Debt Consideration </t>
    </r>
    <r>
      <rPr>
        <rFont val="Arial"/>
        <i/>
        <color theme="1"/>
      </rPr>
      <t>(2)</t>
    </r>
  </si>
  <si>
    <t>Total Pre-Tax Deal Adjustments</t>
  </si>
  <si>
    <r>
      <rPr>
        <rFont val="Arial"/>
        <color theme="1"/>
      </rPr>
      <t xml:space="preserve">Stock Consideration </t>
    </r>
    <r>
      <rPr>
        <rFont val="Arial"/>
        <i/>
        <color theme="1"/>
      </rPr>
      <t>(3)</t>
    </r>
  </si>
  <si>
    <t>Tax Shield / Effect on Adjustments (25%)</t>
  </si>
  <si>
    <t>Total Funding / Consideration</t>
  </si>
  <si>
    <t>Net After-Tax Deal Adjustments</t>
  </si>
  <si>
    <t>(1) MEG holds Php 22,756.22M in cash and short-term placements as of June 30, 2026.</t>
  </si>
  <si>
    <t>Pro Forma Net Income</t>
  </si>
  <si>
    <t>Drawing ~Php 1.96B consumes only 8.6% of MEG’s cash reserves, leaving more than</t>
  </si>
  <si>
    <t>Php 20.7B to support ongoing development capex, debt maturities, and working capital.</t>
  </si>
  <si>
    <t>(2) MEG generates consensus EBITDA of Php 35,453M in FY2026E. Borrowing Php 4.90B</t>
  </si>
  <si>
    <t>adds just 0.14x of incremental leverage, keeping MEG's debt-to-equity ratio well within</t>
  </si>
  <si>
    <t>covenant caps (0.31x vs. typical covenant ceilings of 2.0x–2.5x).</t>
  </si>
  <si>
    <t>(3) Issuing ~5.58 billion new MEG shares represents a ~14.7% post deal ownership stake</t>
  </si>
  <si>
    <t>for FLI shareholders. This prevents Alliance Global Group, Inc. (AGI)—which holds ~61.2%</t>
  </si>
  <si>
    <t>total voting control—from being diluted below majority control.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</si>
</sst>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₱]#,##0.00"/>
    <numFmt numFmtId="165" formatCode="0.0%"/>
    <numFmt numFmtId="166" formatCode="₱#,##0.00;(₱#,##0.00);&quot;₱„&quot;0.00"/>
    <numFmt numFmtId="167" formatCode="#,##0.00;(#,##0.00)"/>
    <numFmt numFmtId="168" formatCode="[$₱]#,##0.0000"/>
    <numFmt numFmtId="169" formatCode="0.00x"/>
    <numFmt numFmtId="170" formatCode="₱#,##0.0000;(₱#,##0.0000);&quot;₱„&quot;0.0000"/>
    <numFmt numFmtId="171" formatCode="0.00%;(0.00%);0.00%"/>
  </numFmts>
  <fonts count="16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/>
    <font>
      <b/>
      <sz val="14.0"/>
      <color rgb="FFFFFFFF"/>
      <name val="Arial"/>
      <scheme val="minor"/>
    </font>
    <font>
      <i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sz val="9.0"/>
      <color theme="1"/>
      <name val="Arial"/>
      <scheme val="minor"/>
    </font>
    <font>
      <b/>
      <sz val="11.0"/>
      <color theme="1"/>
      <name val="Arial"/>
      <scheme val="minor"/>
    </font>
    <font>
      <i/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C5E2B8"/>
        <bgColor rgb="FFC5E2B8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readingOrder="0"/>
    </xf>
    <xf borderId="5" fillId="0" fontId="2" numFmtId="0" xfId="0" applyBorder="1" applyFont="1"/>
    <xf borderId="6" fillId="2" fontId="4" numFmtId="0" xfId="0" applyAlignment="1" applyBorder="1" applyFill="1" applyFont="1">
      <alignment readingOrder="0"/>
    </xf>
    <xf borderId="7" fillId="0" fontId="2" numFmtId="0" xfId="0" applyBorder="1" applyFont="1"/>
    <xf borderId="8" fillId="0" fontId="2" numFmtId="0" xfId="0" applyBorder="1" applyFont="1"/>
    <xf borderId="1" fillId="2" fontId="5" numFmtId="0" xfId="0" applyAlignment="1" applyBorder="1" applyFill="1" applyFont="1">
      <alignment horizontal="left" readingOrder="0"/>
    </xf>
    <xf borderId="1" fillId="2" fontId="5" numFmtId="0" xfId="0" applyAlignment="1" applyBorder="1" applyFill="1" applyFont="1">
      <alignment readingOrder="0" shrinkToFit="0" wrapText="1"/>
    </xf>
    <xf borderId="1" fillId="2" fontId="5" numFmtId="0" xfId="0" applyAlignment="1" applyBorder="1" applyFill="1" applyFont="1">
      <alignment readingOrder="0"/>
    </xf>
    <xf borderId="4" fillId="3" fontId="6" numFmtId="0" xfId="0" applyBorder="1" applyFill="1" applyFont="1"/>
    <xf borderId="7" fillId="3" fontId="7" numFmtId="0" xfId="0" applyAlignment="1" applyBorder="1" applyFill="1" applyFont="1">
      <alignment horizontal="center" readingOrder="0"/>
    </xf>
    <xf borderId="8" fillId="3" fontId="7" numFmtId="0" xfId="0" applyAlignment="1" applyBorder="1" applyFill="1" applyFont="1">
      <alignment horizontal="center" readingOrder="0" shrinkToFit="0" wrapText="1"/>
    </xf>
    <xf borderId="4" fillId="3" fontId="6" numFmtId="0" xfId="0" applyAlignment="1" applyBorder="1" applyFill="1" applyFont="1">
      <alignment readingOrder="0"/>
    </xf>
    <xf borderId="5" fillId="3" fontId="6" numFmtId="164" xfId="0" applyBorder="1" applyFill="1" applyFont="1" applyNumberFormat="1"/>
    <xf borderId="8" fillId="3" fontId="7" numFmtId="0" xfId="0" applyAlignment="1" applyBorder="1" applyFill="1" applyFont="1">
      <alignment horizontal="center" readingOrder="0"/>
    </xf>
    <xf borderId="0" fillId="3" fontId="6" numFmtId="164" xfId="0" applyAlignment="1" applyFill="1" applyFont="1" applyNumberFormat="1">
      <alignment readingOrder="0"/>
    </xf>
    <xf borderId="5" fillId="3" fontId="6" numFmtId="0" xfId="0" applyAlignment="1" applyBorder="1" applyFill="1" applyFont="1">
      <alignment horizontal="right" readingOrder="0"/>
    </xf>
    <xf borderId="5" fillId="3" fontId="6" numFmtId="0" xfId="0" applyBorder="1" applyFill="1" applyFont="1"/>
    <xf borderId="0" fillId="3" fontId="6" numFmtId="164" xfId="0" applyFill="1" applyFont="1" applyNumberFormat="1"/>
    <xf borderId="5" fillId="3" fontId="6" numFmtId="165" xfId="0" applyBorder="1" applyFill="1" applyFont="1" applyNumberFormat="1"/>
    <xf borderId="0" fillId="3" fontId="6" numFmtId="166" xfId="0" applyFill="1" applyFont="1" applyNumberFormat="1"/>
    <xf borderId="0" fillId="3" fontId="6" numFmtId="167" xfId="0" applyAlignment="1" applyFill="1" applyFont="1" applyNumberFormat="1">
      <alignment horizontal="right" readingOrder="0"/>
    </xf>
    <xf borderId="5" fillId="3" fontId="6" numFmtId="167" xfId="0" applyAlignment="1" applyBorder="1" applyFill="1" applyFont="1" applyNumberFormat="1">
      <alignment horizontal="right" readingOrder="0"/>
    </xf>
    <xf borderId="0" fillId="3" fontId="6" numFmtId="167" xfId="0" applyAlignment="1" applyFill="1" applyFont="1" applyNumberFormat="1">
      <alignment readingOrder="0"/>
    </xf>
    <xf borderId="5" fillId="3" fontId="6" numFmtId="167" xfId="0" applyBorder="1" applyFill="1" applyFont="1" applyNumberFormat="1"/>
    <xf borderId="0" fillId="3" fontId="6" numFmtId="168" xfId="0" applyFill="1" applyFont="1" applyNumberFormat="1"/>
    <xf borderId="5" fillId="3" fontId="6" numFmtId="168" xfId="0" applyBorder="1" applyFill="1" applyFont="1" applyNumberFormat="1"/>
    <xf borderId="6" fillId="3" fontId="6" numFmtId="0" xfId="0" applyAlignment="1" applyBorder="1" applyFill="1" applyFont="1">
      <alignment readingOrder="0"/>
    </xf>
    <xf borderId="7" fillId="3" fontId="6" numFmtId="164" xfId="0" applyBorder="1" applyFill="1" applyFont="1" applyNumberFormat="1"/>
    <xf borderId="8" fillId="3" fontId="6" numFmtId="0" xfId="0" applyAlignment="1" applyBorder="1" applyFill="1" applyFont="1">
      <alignment horizontal="right" readingOrder="0"/>
    </xf>
    <xf borderId="8" fillId="3" fontId="6" numFmtId="167" xfId="0" applyBorder="1" applyFill="1" applyFont="1" applyNumberFormat="1"/>
    <xf borderId="0" fillId="3" fontId="6" numFmtId="167" xfId="0" applyFill="1" applyFont="1" applyNumberFormat="1"/>
    <xf borderId="0" fillId="3" fontId="6" numFmtId="0" xfId="0" applyFill="1" applyFont="1"/>
    <xf borderId="4" fillId="3" fontId="7" numFmtId="0" xfId="0" applyAlignment="1" applyBorder="1" applyFill="1" applyFont="1">
      <alignment readingOrder="0"/>
    </xf>
    <xf borderId="5" fillId="3" fontId="7" numFmtId="167" xfId="0" applyBorder="1" applyFill="1" applyFont="1" applyNumberFormat="1"/>
    <xf borderId="7" fillId="3" fontId="6" numFmtId="167" xfId="0" applyBorder="1" applyFill="1" applyFont="1" applyNumberFormat="1"/>
    <xf borderId="8" fillId="3" fontId="6" numFmtId="165" xfId="0" applyBorder="1" applyFill="1" applyFont="1" applyNumberFormat="1"/>
    <xf borderId="0" fillId="3" fontId="7" numFmtId="164" xfId="0" applyFill="1" applyFont="1" applyNumberFormat="1"/>
    <xf borderId="5" fillId="3" fontId="7" numFmtId="165" xfId="0" applyBorder="1" applyFill="1" applyFont="1" applyNumberFormat="1"/>
    <xf borderId="0" fillId="3" fontId="7" numFmtId="167" xfId="0" applyFill="1" applyFont="1" applyNumberFormat="1"/>
    <xf borderId="5" fillId="3" fontId="8" numFmtId="0" xfId="0" applyAlignment="1" applyBorder="1" applyFill="1" applyFont="1">
      <alignment horizontal="center" readingOrder="0"/>
    </xf>
    <xf borderId="8" fillId="3" fontId="6" numFmtId="169" xfId="0" applyBorder="1" applyFill="1" applyFont="1" applyNumberFormat="1"/>
    <xf borderId="4" fillId="3" fontId="9" numFmtId="0" xfId="0" applyAlignment="1" applyBorder="1" applyFill="1" applyFont="1">
      <alignment readingOrder="0"/>
    </xf>
    <xf borderId="0" fillId="3" fontId="7" numFmtId="168" xfId="0" applyFill="1" applyFont="1" applyNumberFormat="1"/>
    <xf borderId="5" fillId="3" fontId="7" numFmtId="168" xfId="0" applyBorder="1" applyFill="1" applyFont="1" applyNumberFormat="1"/>
    <xf borderId="5" fillId="3" fontId="10" numFmtId="0" xfId="0" applyAlignment="1" applyBorder="1" applyFill="1" applyFont="1">
      <alignment horizontal="center"/>
    </xf>
    <xf borderId="0" fillId="0" fontId="6" numFmtId="0" xfId="0" applyAlignment="1" applyFont="1">
      <alignment readingOrder="0"/>
    </xf>
    <xf borderId="7" fillId="3" fontId="6" numFmtId="167" xfId="0" applyAlignment="1" applyBorder="1" applyFill="1" applyFont="1" applyNumberFormat="1">
      <alignment readingOrder="0"/>
    </xf>
    <xf borderId="4" fillId="4" fontId="9" numFmtId="0" xfId="0" applyAlignment="1" applyBorder="1" applyFill="1" applyFont="1">
      <alignment readingOrder="0"/>
    </xf>
    <xf borderId="0" fillId="5" fontId="7" numFmtId="168" xfId="0" applyFill="1" applyFont="1" applyNumberFormat="1"/>
    <xf borderId="5" fillId="5" fontId="7" numFmtId="170" xfId="0" applyBorder="1" applyFill="1" applyFont="1" applyNumberFormat="1"/>
    <xf borderId="0" fillId="3" fontId="7" numFmtId="166" xfId="0" applyFill="1" applyFont="1" applyNumberFormat="1"/>
    <xf borderId="5" fillId="3" fontId="7" numFmtId="164" xfId="0" applyBorder="1" applyFill="1" applyFont="1" applyNumberFormat="1"/>
    <xf borderId="6" fillId="4" fontId="9" numFmtId="0" xfId="0" applyAlignment="1" applyBorder="1" applyFill="1" applyFont="1">
      <alignment readingOrder="0"/>
    </xf>
    <xf borderId="7" fillId="5" fontId="7" numFmtId="10" xfId="0" applyBorder="1" applyFill="1" applyFont="1" applyNumberFormat="1"/>
    <xf borderId="8" fillId="5" fontId="7" numFmtId="171" xfId="0" applyBorder="1" applyFill="1" applyFont="1" applyNumberFormat="1"/>
    <xf borderId="8" fillId="3" fontId="8" numFmtId="0" xfId="0" applyAlignment="1" applyBorder="1" applyFill="1" applyFont="1">
      <alignment horizontal="center" readingOrder="0"/>
    </xf>
    <xf borderId="5" fillId="3" fontId="11" numFmtId="0" xfId="0" applyBorder="1" applyFill="1" applyFont="1"/>
    <xf borderId="5" fillId="3" fontId="6" numFmtId="0" xfId="0" applyAlignment="1" applyBorder="1" applyFill="1" applyFont="1">
      <alignment horizontal="center"/>
    </xf>
    <xf borderId="0" fillId="0" fontId="11" numFmtId="0" xfId="0" applyFont="1"/>
    <xf borderId="8" fillId="3" fontId="6" numFmtId="0" xfId="0" applyAlignment="1" applyBorder="1" applyFill="1" applyFont="1">
      <alignment horizontal="center"/>
    </xf>
    <xf borderId="5" fillId="3" fontId="6" numFmtId="165" xfId="0" applyAlignment="1" applyBorder="1" applyFill="1" applyFont="1" applyNumberFormat="1">
      <alignment readingOrder="0"/>
    </xf>
    <xf borderId="6" fillId="3" fontId="10" numFmtId="0" xfId="0" applyAlignment="1" applyBorder="1" applyFill="1" applyFont="1">
      <alignment readingOrder="0"/>
    </xf>
    <xf borderId="7" fillId="3" fontId="10" numFmtId="164" xfId="0" applyBorder="1" applyFill="1" applyFont="1" applyNumberFormat="1"/>
    <xf borderId="8" fillId="3" fontId="10" numFmtId="165" xfId="0" applyBorder="1" applyFill="1" applyFont="1" applyNumberFormat="1"/>
    <xf borderId="4" fillId="3" fontId="12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2" fillId="3" fontId="6" numFmtId="164" xfId="0" applyBorder="1" applyFill="1" applyFont="1" applyNumberFormat="1"/>
    <xf borderId="0" fillId="0" fontId="11" numFmtId="0" xfId="0" applyAlignment="1" applyFont="1">
      <alignment readingOrder="0"/>
    </xf>
    <xf borderId="9" fillId="3" fontId="13" numFmtId="0" xfId="0" applyAlignment="1" applyBorder="1" applyFill="1" applyFont="1">
      <alignment horizontal="center" readingOrder="0"/>
    </xf>
    <xf borderId="0" fillId="3" fontId="7" numFmtId="9" xfId="0" applyAlignment="1" applyFill="1" applyFont="1" applyNumberFormat="1">
      <alignment horizontal="center" readingOrder="0"/>
    </xf>
    <xf borderId="0" fillId="4" fontId="7" numFmtId="9" xfId="0" applyAlignment="1" applyFill="1" applyFont="1" applyNumberFormat="1">
      <alignment horizontal="center" readingOrder="0"/>
    </xf>
    <xf borderId="5" fillId="3" fontId="7" numFmtId="9" xfId="0" applyAlignment="1" applyBorder="1" applyFill="1" applyFont="1" applyNumberFormat="1">
      <alignment horizontal="center" readingOrder="0"/>
    </xf>
    <xf borderId="4" fillId="3" fontId="7" numFmtId="9" xfId="0" applyAlignment="1" applyBorder="1" applyFill="1" applyFont="1" applyNumberFormat="1">
      <alignment horizontal="center" readingOrder="0"/>
    </xf>
    <xf borderId="0" fillId="3" fontId="6" numFmtId="10" xfId="0" applyAlignment="1" applyFill="1" applyFont="1" applyNumberFormat="1">
      <alignment horizontal="center" readingOrder="0"/>
    </xf>
    <xf borderId="10" fillId="3" fontId="6" numFmtId="10" xfId="0" applyAlignment="1" applyBorder="1" applyFill="1" applyFont="1" applyNumberFormat="1">
      <alignment horizontal="center" readingOrder="0"/>
    </xf>
    <xf borderId="5" fillId="3" fontId="6" numFmtId="171" xfId="0" applyAlignment="1" applyBorder="1" applyFill="1" applyFont="1" applyNumberFormat="1">
      <alignment horizontal="center" readingOrder="0"/>
    </xf>
    <xf borderId="3" fillId="3" fontId="6" numFmtId="165" xfId="0" applyBorder="1" applyFill="1" applyFont="1" applyNumberFormat="1"/>
    <xf borderId="0" fillId="3" fontId="6" numFmtId="171" xfId="0" applyAlignment="1" applyFill="1" applyFont="1" applyNumberFormat="1">
      <alignment horizontal="center" readingOrder="0"/>
    </xf>
    <xf borderId="7" fillId="3" fontId="6" numFmtId="164" xfId="0" applyAlignment="1" applyBorder="1" applyFill="1" applyFont="1" applyNumberFormat="1">
      <alignment readingOrder="0"/>
    </xf>
    <xf borderId="4" fillId="3" fontId="6" numFmtId="0" xfId="0" applyAlignment="1" applyBorder="1" applyFill="1" applyFont="1">
      <alignment readingOrder="0"/>
    </xf>
    <xf borderId="4" fillId="4" fontId="7" numFmtId="9" xfId="0" applyAlignment="1" applyBorder="1" applyFill="1" applyFont="1" applyNumberFormat="1">
      <alignment horizontal="center" readingOrder="0"/>
    </xf>
    <xf borderId="11" fillId="3" fontId="6" numFmtId="10" xfId="0" applyAlignment="1" applyBorder="1" applyFill="1" applyFont="1" applyNumberFormat="1">
      <alignment horizontal="center" readingOrder="0"/>
    </xf>
    <xf borderId="0" fillId="5" fontId="6" numFmtId="10" xfId="0" applyAlignment="1" applyFill="1" applyFont="1" applyNumberFormat="1">
      <alignment horizontal="center" readingOrder="0"/>
    </xf>
    <xf borderId="6" fillId="3" fontId="7" numFmtId="9" xfId="0" applyAlignment="1" applyBorder="1" applyFill="1" applyFont="1" applyNumberFormat="1">
      <alignment horizontal="center" readingOrder="0"/>
    </xf>
    <xf borderId="7" fillId="3" fontId="6" numFmtId="10" xfId="0" applyAlignment="1" applyBorder="1" applyFill="1" applyFont="1" applyNumberFormat="1">
      <alignment horizontal="center" readingOrder="0"/>
    </xf>
    <xf borderId="7" fillId="3" fontId="6" numFmtId="171" xfId="0" applyAlignment="1" applyBorder="1" applyFill="1" applyFont="1" applyNumberFormat="1">
      <alignment horizontal="center" readingOrder="0"/>
    </xf>
    <xf borderId="8" fillId="3" fontId="6" numFmtId="171" xfId="0" applyAlignment="1" applyBorder="1" applyFill="1" applyFont="1" applyNumberFormat="1">
      <alignment horizontal="center" readingOrder="0"/>
    </xf>
    <xf borderId="8" fillId="3" fontId="6" numFmtId="165" xfId="0" applyAlignment="1" applyBorder="1" applyFill="1" applyFont="1" applyNumberFormat="1">
      <alignment readingOrder="0"/>
    </xf>
    <xf borderId="6" fillId="3" fontId="7" numFmtId="0" xfId="0" applyAlignment="1" applyBorder="1" applyFill="1" applyFont="1">
      <alignment horizontal="center" readingOrder="0"/>
    </xf>
    <xf borderId="0" fillId="3" fontId="7" numFmtId="164" xfId="0" applyFill="1" applyFont="1" applyNumberFormat="1"/>
    <xf borderId="5" fillId="3" fontId="6" numFmtId="164" xfId="0" applyAlignment="1" applyBorder="1" applyFill="1" applyFont="1" applyNumberFormat="1">
      <alignment readingOrder="0"/>
    </xf>
    <xf borderId="5" fillId="3" fontId="6" numFmtId="167" xfId="0" applyAlignment="1" applyBorder="1" applyFill="1" applyFont="1" applyNumberFormat="1">
      <alignment readingOrder="0"/>
    </xf>
    <xf borderId="8" fillId="3" fontId="6" numFmtId="167" xfId="0" applyAlignment="1" applyBorder="1" applyFill="1" applyFont="1" applyNumberFormat="1">
      <alignment readingOrder="0"/>
    </xf>
    <xf borderId="0" fillId="0" fontId="14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/>
    </xf>
    <xf borderId="0" fillId="3" fontId="15" numFmtId="167" xfId="0" applyAlignment="1" applyFill="1" applyFont="1" applyNumberFormat="1">
      <alignment readingOrder="0"/>
    </xf>
    <xf borderId="0" fillId="3" fontId="6" numFmtId="2" xfId="0" applyAlignment="1" applyFill="1" applyFont="1" applyNumberFormat="1">
      <alignment readingOrder="0"/>
    </xf>
    <xf borderId="5" fillId="3" fontId="6" numFmtId="2" xfId="0" applyAlignment="1" applyBorder="1" applyFill="1" applyFont="1" applyNumberFormat="1">
      <alignment readingOrder="0"/>
    </xf>
    <xf borderId="9" fillId="3" fontId="12" numFmtId="0" xfId="0" applyAlignment="1" applyBorder="1" applyFill="1" applyFont="1">
      <alignment horizontal="center" readingOrder="0"/>
    </xf>
    <xf borderId="0" fillId="3" fontId="7" numFmtId="10" xfId="0" applyAlignment="1" applyFill="1" applyFont="1" applyNumberFormat="1">
      <alignment horizontal="center" readingOrder="0"/>
    </xf>
    <xf borderId="0" fillId="4" fontId="7" numFmtId="10" xfId="0" applyAlignment="1" applyFill="1" applyFont="1" applyNumberFormat="1">
      <alignment horizontal="center" readingOrder="0"/>
    </xf>
    <xf borderId="5" fillId="3" fontId="7" numFmtId="10" xfId="0" applyAlignment="1" applyBorder="1" applyFill="1" applyFont="1" applyNumberFormat="1">
      <alignment horizontal="center" readingOrder="0"/>
    </xf>
    <xf borderId="4" fillId="3" fontId="7" numFmtId="164" xfId="0" applyAlignment="1" applyBorder="1" applyFill="1" applyFont="1" applyNumberFormat="1">
      <alignment horizontal="center" readingOrder="0"/>
    </xf>
    <xf borderId="5" fillId="3" fontId="6" numFmtId="10" xfId="0" applyAlignment="1" applyBorder="1" applyFill="1" applyFont="1" applyNumberFormat="1">
      <alignment horizontal="center" readingOrder="0"/>
    </xf>
    <xf borderId="4" fillId="3" fontId="13" numFmtId="0" xfId="0" applyAlignment="1" applyBorder="1" applyFill="1" applyFont="1">
      <alignment horizontal="center" readingOrder="0"/>
    </xf>
    <xf borderId="5" fillId="3" fontId="13" numFmtId="0" xfId="0" applyAlignment="1" applyBorder="1" applyFill="1" applyFont="1">
      <alignment horizontal="center" readingOrder="0"/>
    </xf>
    <xf borderId="4" fillId="4" fontId="7" numFmtId="164" xfId="0" applyAlignment="1" applyBorder="1" applyFill="1" applyFont="1" applyNumberFormat="1">
      <alignment horizontal="center" readingOrder="0"/>
    </xf>
    <xf borderId="4" fillId="3" fontId="13" numFmtId="0" xfId="0" applyAlignment="1" applyBorder="1" applyFill="1" applyFont="1">
      <alignment readingOrder="0"/>
    </xf>
    <xf borderId="0" fillId="3" fontId="13" numFmtId="164" xfId="0" applyAlignment="1" applyFill="1" applyFont="1" applyNumberFormat="1">
      <alignment readingOrder="0"/>
    </xf>
    <xf borderId="0" fillId="3" fontId="13" numFmtId="166" xfId="0" applyAlignment="1" applyFill="1" applyFont="1" applyNumberFormat="1">
      <alignment readingOrder="0"/>
    </xf>
    <xf borderId="5" fillId="3" fontId="13" numFmtId="164" xfId="0" applyAlignment="1" applyBorder="1" applyFill="1" applyFont="1" applyNumberFormat="1">
      <alignment readingOrder="0"/>
    </xf>
    <xf borderId="7" fillId="3" fontId="6" numFmtId="2" xfId="0" applyAlignment="1" applyBorder="1" applyFill="1" applyFont="1" applyNumberFormat="1">
      <alignment readingOrder="0"/>
    </xf>
    <xf borderId="8" fillId="3" fontId="6" numFmtId="2" xfId="0" applyAlignment="1" applyBorder="1" applyFill="1" applyFont="1" applyNumberFormat="1">
      <alignment readingOrder="0"/>
    </xf>
    <xf borderId="4" fillId="3" fontId="15" numFmtId="0" xfId="0" applyBorder="1" applyFill="1" applyFont="1"/>
    <xf borderId="0" fillId="3" fontId="15" numFmtId="0" xfId="0" applyFill="1" applyFont="1"/>
    <xf borderId="5" fillId="3" fontId="15" numFmtId="0" xfId="0" applyBorder="1" applyFill="1" applyFont="1"/>
    <xf borderId="6" fillId="3" fontId="7" numFmtId="164" xfId="0" applyAlignment="1" applyBorder="1" applyFill="1" applyFont="1" applyNumberFormat="1">
      <alignment horizontal="center" readingOrder="0"/>
    </xf>
    <xf borderId="8" fillId="3" fontId="6" numFmtId="10" xfId="0" applyAlignment="1" applyBorder="1" applyFill="1" applyFont="1" applyNumberFormat="1">
      <alignment horizontal="center" readingOrder="0"/>
    </xf>
    <xf borderId="0" fillId="3" fontId="13" numFmtId="164" xfId="0" applyAlignment="1" applyFill="1" applyFont="1" applyNumberFormat="1">
      <alignment readingOrder="0"/>
    </xf>
    <xf borderId="5" fillId="3" fontId="13" numFmtId="164" xfId="0" applyAlignment="1" applyBorder="1" applyFill="1" applyFont="1" applyNumberFormat="1">
      <alignment readingOrder="0"/>
    </xf>
    <xf borderId="7" fillId="3" fontId="10" numFmtId="166" xfId="0" applyBorder="1" applyFill="1" applyFont="1" applyNumberFormat="1"/>
    <xf borderId="8" fillId="3" fontId="10" numFmtId="164" xfId="0" applyBorder="1" applyFill="1" applyFont="1" applyNumberFormat="1"/>
    <xf borderId="5" fillId="3" fontId="6" numFmtId="166" xfId="0" applyBorder="1" applyFill="1" applyFont="1" applyNumberFormat="1"/>
    <xf borderId="5" fillId="3" fontId="6" numFmtId="166" xfId="0" applyBorder="1" applyFill="1" applyFont="1" applyNumberFormat="1"/>
    <xf borderId="6" fillId="3" fontId="7" numFmtId="0" xfId="0" applyAlignment="1" applyBorder="1" applyFill="1" applyFont="1">
      <alignment readingOrder="0"/>
    </xf>
    <xf borderId="8" fillId="3" fontId="7" numFmtId="164" xfId="0" applyBorder="1" applyFill="1" applyFont="1" applyNumberFormat="1"/>
    <xf borderId="6" fillId="3" fontId="13" numFmtId="0" xfId="0" applyAlignment="1" applyBorder="1" applyFill="1" applyFont="1">
      <alignment readingOrder="0"/>
    </xf>
    <xf borderId="8" fillId="3" fontId="13" numFmtId="164" xfId="0" applyAlignment="1" applyBorder="1" applyFill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4" fillId="3" fontId="10" numFmtId="0" xfId="0" applyAlignment="1" applyBorder="1" applyFill="1" applyFont="1">
      <alignment readingOrder="0"/>
    </xf>
    <xf borderId="0" fillId="3" fontId="6" numFmtId="165" xfId="0" applyAlignment="1" applyFill="1" applyFont="1" applyNumberFormat="1">
      <alignment readingOrder="0"/>
    </xf>
    <xf borderId="7" fillId="3" fontId="6" numFmtId="165" xfId="0" applyAlignment="1" applyBorder="1" applyFill="1" applyFont="1" applyNumberFormat="1">
      <alignment readingOrder="0"/>
    </xf>
    <xf borderId="8" fillId="3" fontId="6" numFmtId="164" xfId="0" applyBorder="1" applyFill="1" applyFont="1" applyNumberFormat="1"/>
    <xf borderId="7" fillId="3" fontId="7" numFmtId="165" xfId="0" applyBorder="1" applyFill="1" applyFont="1" applyNumberFormat="1"/>
    <xf borderId="7" fillId="3" fontId="7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4.88"/>
    <col customWidth="1" min="3" max="3" width="20.63"/>
    <col customWidth="1" min="4" max="4" width="19.75"/>
    <col customWidth="1" min="5" max="5" width="4.0"/>
    <col customWidth="1" min="6" max="6" width="33.13"/>
    <col customWidth="1" min="8" max="8" width="3.88"/>
    <col customWidth="1" min="9" max="9" width="35.88"/>
    <col customWidth="1" min="10" max="11" width="12.63"/>
    <col customWidth="1" min="12" max="12" width="4.13"/>
    <col customWidth="1" min="13" max="13" width="32.0"/>
    <col customWidth="1" min="14" max="17" width="12.63"/>
    <col customWidth="1" min="18" max="18" width="3.5"/>
    <col customWidth="1" min="19" max="19" width="18.38"/>
    <col customWidth="1" min="20" max="23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" t="s">
        <v>1</v>
      </c>
      <c r="W2" s="5"/>
    </row>
    <row r="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5">
      <c r="A5" s="9" t="s">
        <v>3</v>
      </c>
      <c r="B5" s="2"/>
      <c r="C5" s="2"/>
      <c r="D5" s="3"/>
      <c r="F5" s="10" t="s">
        <v>4</v>
      </c>
      <c r="G5" s="3"/>
      <c r="I5" s="10" t="s">
        <v>5</v>
      </c>
      <c r="J5" s="2"/>
      <c r="K5" s="3"/>
      <c r="M5" s="11" t="s">
        <v>6</v>
      </c>
      <c r="N5" s="2"/>
      <c r="O5" s="2"/>
      <c r="P5" s="2"/>
      <c r="Q5" s="3"/>
      <c r="S5" s="11" t="s">
        <v>7</v>
      </c>
      <c r="T5" s="2"/>
      <c r="U5" s="2"/>
      <c r="V5" s="2"/>
      <c r="W5" s="3"/>
    </row>
    <row r="6">
      <c r="A6" s="12"/>
      <c r="B6" s="13" t="s">
        <v>8</v>
      </c>
      <c r="C6" s="13" t="s">
        <v>9</v>
      </c>
      <c r="D6" s="14" t="s">
        <v>10</v>
      </c>
      <c r="F6" s="15" t="s">
        <v>11</v>
      </c>
      <c r="G6" s="16">
        <f>B7</f>
        <v>2.28</v>
      </c>
      <c r="I6" s="12"/>
      <c r="J6" s="13" t="s">
        <v>12</v>
      </c>
      <c r="K6" s="17" t="s">
        <v>13</v>
      </c>
      <c r="M6" s="12"/>
      <c r="N6" s="13" t="s">
        <v>14</v>
      </c>
      <c r="O6" s="13" t="s">
        <v>15</v>
      </c>
      <c r="P6" s="13" t="s">
        <v>16</v>
      </c>
      <c r="Q6" s="17" t="s">
        <v>17</v>
      </c>
      <c r="S6" s="12"/>
      <c r="U6" s="13" t="s">
        <v>18</v>
      </c>
      <c r="V6" s="13" t="s">
        <v>19</v>
      </c>
      <c r="W6" s="17" t="s">
        <v>20</v>
      </c>
    </row>
    <row r="7">
      <c r="A7" s="15" t="s">
        <v>21</v>
      </c>
      <c r="B7" s="18">
        <v>2.28</v>
      </c>
      <c r="C7" s="18">
        <v>0.7</v>
      </c>
      <c r="D7" s="19" t="s">
        <v>22</v>
      </c>
      <c r="F7" s="12"/>
      <c r="G7" s="20"/>
      <c r="I7" s="15" t="s">
        <v>23</v>
      </c>
      <c r="J7" s="21">
        <f>D43</f>
        <v>19585.79</v>
      </c>
      <c r="K7" s="22">
        <f t="shared" ref="K7:K10" si="3">J7/$J$11</f>
        <v>0.9828009828</v>
      </c>
      <c r="M7" s="15" t="s">
        <v>24</v>
      </c>
      <c r="N7" s="21">
        <f t="shared" ref="N7:O7" si="1">B13</f>
        <v>22756.22</v>
      </c>
      <c r="O7" s="21">
        <f t="shared" si="1"/>
        <v>7490.27</v>
      </c>
      <c r="P7" s="23">
        <f>-J15</f>
        <v>-2301.330325</v>
      </c>
      <c r="Q7" s="16">
        <f t="shared" ref="Q7:Q14" si="4">SUM(N7:P7)</f>
        <v>27945.15968</v>
      </c>
      <c r="S7" s="15" t="s">
        <v>25</v>
      </c>
      <c r="U7" s="24">
        <f t="shared" ref="U7:W7" si="2">$B$8</f>
        <v>32429.88</v>
      </c>
      <c r="V7" s="24">
        <f t="shared" si="2"/>
        <v>32429.88</v>
      </c>
      <c r="W7" s="25">
        <f t="shared" si="2"/>
        <v>32429.88</v>
      </c>
    </row>
    <row r="8">
      <c r="A8" s="15" t="s">
        <v>26</v>
      </c>
      <c r="B8" s="26">
        <v>32429.88</v>
      </c>
      <c r="C8" s="26">
        <v>22383.76</v>
      </c>
      <c r="D8" s="19" t="s">
        <v>27</v>
      </c>
      <c r="F8" s="15" t="s">
        <v>28</v>
      </c>
      <c r="G8" s="27">
        <f>D53/G6</f>
        <v>5583.668202</v>
      </c>
      <c r="I8" s="15" t="s">
        <v>29</v>
      </c>
      <c r="J8" s="26">
        <v>0.0</v>
      </c>
      <c r="K8" s="22">
        <f t="shared" si="3"/>
        <v>0</v>
      </c>
      <c r="M8" s="15" t="s">
        <v>30</v>
      </c>
      <c r="N8" s="26">
        <v>86530.22</v>
      </c>
      <c r="O8" s="26">
        <v>4912.95</v>
      </c>
      <c r="P8" s="26">
        <v>0.0</v>
      </c>
      <c r="Q8" s="27">
        <f t="shared" si="4"/>
        <v>91443.17</v>
      </c>
      <c r="S8" s="15" t="s">
        <v>31</v>
      </c>
      <c r="U8" s="28">
        <f t="shared" ref="U8:W8" si="5">B30</f>
        <v>0.6685</v>
      </c>
      <c r="V8" s="28">
        <f t="shared" si="5"/>
        <v>0.7012</v>
      </c>
      <c r="W8" s="29">
        <f t="shared" si="5"/>
        <v>0.7174</v>
      </c>
    </row>
    <row r="9">
      <c r="A9" s="30" t="s">
        <v>32</v>
      </c>
      <c r="B9" s="31">
        <f t="shared" ref="B9:C9" si="6">B7*B8</f>
        <v>73940.1264</v>
      </c>
      <c r="C9" s="31">
        <f t="shared" si="6"/>
        <v>15668.632</v>
      </c>
      <c r="D9" s="32" t="s">
        <v>22</v>
      </c>
      <c r="F9" s="30" t="s">
        <v>33</v>
      </c>
      <c r="G9" s="33">
        <f>B8</f>
        <v>32429.88</v>
      </c>
      <c r="I9" s="15" t="s">
        <v>34</v>
      </c>
      <c r="J9" s="34">
        <f>D54*G24</f>
        <v>293.78685</v>
      </c>
      <c r="K9" s="22">
        <f t="shared" si="3"/>
        <v>0.01474201474</v>
      </c>
      <c r="M9" s="15" t="s">
        <v>35</v>
      </c>
      <c r="N9" s="26">
        <v>34981.68</v>
      </c>
      <c r="O9" s="26">
        <v>11679.93</v>
      </c>
      <c r="P9" s="26">
        <v>0.0</v>
      </c>
      <c r="Q9" s="27">
        <f t="shared" si="4"/>
        <v>46661.61</v>
      </c>
      <c r="S9" s="12"/>
      <c r="U9" s="35"/>
      <c r="V9" s="35"/>
      <c r="W9" s="20"/>
    </row>
    <row r="10">
      <c r="F10" s="36" t="s">
        <v>36</v>
      </c>
      <c r="G10" s="37">
        <f>G8+G9</f>
        <v>38013.5482</v>
      </c>
      <c r="I10" s="30" t="s">
        <v>37</v>
      </c>
      <c r="J10" s="38">
        <f>D52*G25</f>
        <v>48.964475</v>
      </c>
      <c r="K10" s="39">
        <f t="shared" si="3"/>
        <v>0.002457002457</v>
      </c>
      <c r="M10" s="15" t="s">
        <v>38</v>
      </c>
      <c r="N10" s="26">
        <v>139412.4</v>
      </c>
      <c r="O10" s="26">
        <v>75078.68</v>
      </c>
      <c r="P10" s="34">
        <f t="shared" ref="P10:P11" si="9">J26</f>
        <v>5000</v>
      </c>
      <c r="Q10" s="27">
        <f t="shared" si="4"/>
        <v>219491.08</v>
      </c>
      <c r="S10" s="30" t="s">
        <v>39</v>
      </c>
      <c r="T10" s="7"/>
      <c r="U10" s="38">
        <f t="shared" ref="U10:W10" si="7">$G$8</f>
        <v>5583.668202</v>
      </c>
      <c r="V10" s="38">
        <f t="shared" si="7"/>
        <v>5583.668202</v>
      </c>
      <c r="W10" s="33">
        <f t="shared" si="7"/>
        <v>5583.668202</v>
      </c>
    </row>
    <row r="11">
      <c r="A11" s="9" t="s">
        <v>40</v>
      </c>
      <c r="B11" s="2"/>
      <c r="C11" s="2"/>
      <c r="D11" s="3"/>
      <c r="F11" s="12"/>
      <c r="G11" s="20"/>
      <c r="I11" s="36" t="s">
        <v>41</v>
      </c>
      <c r="J11" s="40">
        <f t="shared" ref="J11:K11" si="8">SUM(J7:J10)</f>
        <v>19928.54133</v>
      </c>
      <c r="K11" s="41">
        <f t="shared" si="8"/>
        <v>1</v>
      </c>
      <c r="M11" s="15" t="s">
        <v>42</v>
      </c>
      <c r="N11" s="26">
        <v>155706.67</v>
      </c>
      <c r="O11" s="26">
        <v>88813.46</v>
      </c>
      <c r="P11" s="34">
        <f t="shared" si="9"/>
        <v>10000</v>
      </c>
      <c r="Q11" s="27">
        <f t="shared" si="4"/>
        <v>254520.13</v>
      </c>
      <c r="S11" s="36" t="s">
        <v>43</v>
      </c>
      <c r="U11" s="42">
        <f t="shared" ref="U11:W11" si="10">U7+U10</f>
        <v>38013.5482</v>
      </c>
      <c r="V11" s="42">
        <f t="shared" si="10"/>
        <v>38013.5482</v>
      </c>
      <c r="W11" s="37">
        <f t="shared" si="10"/>
        <v>38013.5482</v>
      </c>
    </row>
    <row r="12">
      <c r="A12" s="12"/>
      <c r="B12" s="13" t="s">
        <v>44</v>
      </c>
      <c r="C12" s="13" t="s">
        <v>45</v>
      </c>
      <c r="D12" s="14" t="s">
        <v>46</v>
      </c>
      <c r="F12" s="15" t="s">
        <v>47</v>
      </c>
      <c r="G12" s="22">
        <f>G8/G10</f>
        <v>0.1468862673</v>
      </c>
      <c r="I12" s="12"/>
      <c r="J12" s="35"/>
      <c r="K12" s="20"/>
      <c r="M12" s="15" t="s">
        <v>48</v>
      </c>
      <c r="N12" s="26">
        <v>12652.61</v>
      </c>
      <c r="O12" s="26">
        <v>5815.92</v>
      </c>
      <c r="P12" s="26">
        <v>0.0</v>
      </c>
      <c r="Q12" s="27">
        <f t="shared" si="4"/>
        <v>18468.53</v>
      </c>
      <c r="S12" s="12"/>
      <c r="U12" s="35"/>
      <c r="V12" s="35"/>
      <c r="W12" s="20"/>
    </row>
    <row r="13">
      <c r="A13" s="15" t="s">
        <v>24</v>
      </c>
      <c r="B13" s="18">
        <v>22756.22</v>
      </c>
      <c r="C13" s="18">
        <v>7490.27</v>
      </c>
      <c r="D13" s="43" t="s">
        <v>24</v>
      </c>
      <c r="F13" s="30" t="s">
        <v>49</v>
      </c>
      <c r="G13" s="44">
        <f>G8/C8</f>
        <v>0.2494517544</v>
      </c>
      <c r="I13" s="15" t="s">
        <v>50</v>
      </c>
      <c r="J13" s="21">
        <f t="shared" ref="J13:J14" si="12">D52</f>
        <v>4896.4475</v>
      </c>
      <c r="K13" s="22">
        <f t="shared" ref="K13:K15" si="13">J13/$J$16</f>
        <v>0.2457002457</v>
      </c>
      <c r="M13" s="15" t="s">
        <v>51</v>
      </c>
      <c r="N13" s="26">
        <v>0.0</v>
      </c>
      <c r="O13" s="34">
        <f>J38</f>
        <v>4567.24</v>
      </c>
      <c r="P13" s="34">
        <f>-J38</f>
        <v>-4567.24</v>
      </c>
      <c r="Q13" s="27">
        <f t="shared" si="4"/>
        <v>0</v>
      </c>
      <c r="S13" s="45" t="s">
        <v>52</v>
      </c>
      <c r="U13" s="46">
        <f t="shared" ref="U13:W13" si="11">N56/U11</f>
        <v>0.6806875183</v>
      </c>
      <c r="V13" s="46">
        <f t="shared" si="11"/>
        <v>0.7127221496</v>
      </c>
      <c r="W13" s="47">
        <f t="shared" si="11"/>
        <v>0.7119822818</v>
      </c>
    </row>
    <row r="14">
      <c r="A14" s="12"/>
      <c r="B14" s="35"/>
      <c r="C14" s="35"/>
      <c r="D14" s="48"/>
      <c r="F14" s="49" t="s">
        <v>53</v>
      </c>
      <c r="I14" s="15" t="s">
        <v>54</v>
      </c>
      <c r="J14" s="34">
        <f t="shared" si="12"/>
        <v>12730.7635</v>
      </c>
      <c r="K14" s="22">
        <f t="shared" si="13"/>
        <v>0.6388206388</v>
      </c>
      <c r="M14" s="30" t="s">
        <v>55</v>
      </c>
      <c r="N14" s="50">
        <v>50426.42</v>
      </c>
      <c r="O14" s="50">
        <v>20681.83</v>
      </c>
      <c r="P14" s="50">
        <v>0.0</v>
      </c>
      <c r="Q14" s="33">
        <f t="shared" si="4"/>
        <v>71108.25</v>
      </c>
      <c r="S14" s="51" t="s">
        <v>56</v>
      </c>
      <c r="U14" s="52">
        <f t="shared" ref="U14:W14" si="14">U13-U8</f>
        <v>0.01218751829</v>
      </c>
      <c r="V14" s="52">
        <f t="shared" si="14"/>
        <v>0.01152214956</v>
      </c>
      <c r="W14" s="53">
        <f t="shared" si="14"/>
        <v>-0.00541771823</v>
      </c>
    </row>
    <row r="15">
      <c r="A15" s="15" t="s">
        <v>57</v>
      </c>
      <c r="B15" s="26">
        <v>21006.56</v>
      </c>
      <c r="C15" s="26">
        <v>25027.21</v>
      </c>
      <c r="D15" s="43" t="s">
        <v>58</v>
      </c>
      <c r="F15" s="49" t="s">
        <v>59</v>
      </c>
      <c r="I15" s="30" t="s">
        <v>60</v>
      </c>
      <c r="J15" s="38">
        <f>D51+J9+J10</f>
        <v>2301.330325</v>
      </c>
      <c r="K15" s="39">
        <f t="shared" si="13"/>
        <v>0.1154791155</v>
      </c>
      <c r="M15" s="36" t="s">
        <v>61</v>
      </c>
      <c r="N15" s="40">
        <f t="shared" ref="N15:Q15" si="15">SUM(N7:N14)</f>
        <v>502466.22</v>
      </c>
      <c r="O15" s="40">
        <f t="shared" si="15"/>
        <v>219040.28</v>
      </c>
      <c r="P15" s="54">
        <f t="shared" si="15"/>
        <v>8131.429675</v>
      </c>
      <c r="Q15" s="55">
        <f t="shared" si="15"/>
        <v>729637.9297</v>
      </c>
      <c r="S15" s="56" t="s">
        <v>62</v>
      </c>
      <c r="T15" s="7"/>
      <c r="U15" s="57">
        <f t="shared" ref="U15:W15" si="16">U14/U8</f>
        <v>0.0182311418</v>
      </c>
      <c r="V15" s="57">
        <f t="shared" si="16"/>
        <v>0.01643204444</v>
      </c>
      <c r="W15" s="58">
        <f t="shared" si="16"/>
        <v>-0.007551879328</v>
      </c>
    </row>
    <row r="16">
      <c r="A16" s="30" t="s">
        <v>63</v>
      </c>
      <c r="B16" s="50">
        <v>77873.07</v>
      </c>
      <c r="C16" s="50">
        <v>61853.07</v>
      </c>
      <c r="D16" s="59" t="s">
        <v>64</v>
      </c>
      <c r="I16" s="36" t="s">
        <v>65</v>
      </c>
      <c r="J16" s="40">
        <f t="shared" ref="J16:K16" si="17">SUM(J13:J15)</f>
        <v>19928.54133</v>
      </c>
      <c r="K16" s="41">
        <f t="shared" si="17"/>
        <v>1</v>
      </c>
      <c r="M16" s="12"/>
      <c r="N16" s="35"/>
      <c r="O16" s="35"/>
      <c r="P16" s="35"/>
      <c r="Q16" s="60"/>
    </row>
    <row r="17">
      <c r="A17" s="15" t="s">
        <v>66</v>
      </c>
      <c r="B17" s="21">
        <f t="shared" ref="B17:C17" si="18">SUM(B15:B16)</f>
        <v>98879.63</v>
      </c>
      <c r="C17" s="21">
        <f t="shared" si="18"/>
        <v>86880.28</v>
      </c>
      <c r="D17" s="61"/>
      <c r="F17" s="10" t="s">
        <v>67</v>
      </c>
      <c r="G17" s="3"/>
      <c r="I17" s="12"/>
      <c r="J17" s="35"/>
      <c r="K17" s="20"/>
      <c r="M17" s="15" t="s">
        <v>68</v>
      </c>
      <c r="N17" s="18">
        <f t="shared" ref="N17:O17" si="19">B15</f>
        <v>21006.56</v>
      </c>
      <c r="O17" s="18">
        <f t="shared" si="19"/>
        <v>25027.21</v>
      </c>
      <c r="P17" s="18">
        <v>0.0</v>
      </c>
      <c r="Q17" s="16">
        <f t="shared" ref="Q17:Q24" si="21">SUM(N17:P17)</f>
        <v>46033.77</v>
      </c>
      <c r="R17" s="62"/>
      <c r="S17" s="11" t="s">
        <v>69</v>
      </c>
      <c r="T17" s="2"/>
      <c r="U17" s="2"/>
      <c r="V17" s="2"/>
      <c r="W17" s="2"/>
      <c r="X17" s="3"/>
    </row>
    <row r="18">
      <c r="A18" s="12"/>
      <c r="B18" s="35"/>
      <c r="C18" s="35"/>
      <c r="D18" s="63"/>
      <c r="F18" s="15" t="s">
        <v>70</v>
      </c>
      <c r="G18" s="64">
        <v>0.0675</v>
      </c>
      <c r="I18" s="65" t="s">
        <v>71</v>
      </c>
      <c r="J18" s="66">
        <f t="shared" ref="J18:K18" si="20">J11-J16</f>
        <v>0</v>
      </c>
      <c r="K18" s="67">
        <f t="shared" si="20"/>
        <v>0</v>
      </c>
      <c r="M18" s="15" t="s">
        <v>72</v>
      </c>
      <c r="N18" s="26">
        <v>34233.28</v>
      </c>
      <c r="O18" s="26">
        <v>11312.58</v>
      </c>
      <c r="P18" s="26">
        <v>0.0</v>
      </c>
      <c r="Q18" s="27">
        <f t="shared" si="21"/>
        <v>45545.86</v>
      </c>
      <c r="S18" s="68"/>
      <c r="T18" s="13" t="s">
        <v>73</v>
      </c>
      <c r="U18" s="7"/>
      <c r="V18" s="7"/>
      <c r="W18" s="7"/>
      <c r="X18" s="8"/>
    </row>
    <row r="19">
      <c r="A19" s="69" t="s">
        <v>74</v>
      </c>
      <c r="B19" s="70">
        <f t="shared" ref="B19:C19" si="22">B17-B13</f>
        <v>76123.41</v>
      </c>
      <c r="C19" s="70">
        <f t="shared" si="22"/>
        <v>79390.01</v>
      </c>
      <c r="D19" s="43"/>
      <c r="F19" s="15" t="s">
        <v>75</v>
      </c>
      <c r="G19" s="64">
        <v>0.05</v>
      </c>
      <c r="I19" s="71" t="s">
        <v>76</v>
      </c>
      <c r="M19" s="15" t="s">
        <v>77</v>
      </c>
      <c r="N19" s="26">
        <v>19268.95</v>
      </c>
      <c r="O19" s="26">
        <v>790.73</v>
      </c>
      <c r="P19" s="26">
        <v>0.0</v>
      </c>
      <c r="Q19" s="27">
        <f t="shared" si="21"/>
        <v>20059.68</v>
      </c>
      <c r="S19" s="72" t="s">
        <v>78</v>
      </c>
      <c r="T19" s="73">
        <v>0.35</v>
      </c>
      <c r="U19" s="73">
        <v>0.5</v>
      </c>
      <c r="V19" s="74">
        <v>0.65</v>
      </c>
      <c r="W19" s="73">
        <v>0.8</v>
      </c>
      <c r="X19" s="75">
        <v>1.0</v>
      </c>
    </row>
    <row r="20">
      <c r="A20" s="12"/>
      <c r="B20" s="34"/>
      <c r="C20" s="34"/>
      <c r="D20" s="61"/>
      <c r="F20" s="15" t="s">
        <v>79</v>
      </c>
      <c r="G20" s="64">
        <v>0.25</v>
      </c>
      <c r="I20" s="71" t="s">
        <v>80</v>
      </c>
      <c r="M20" s="15" t="s">
        <v>81</v>
      </c>
      <c r="N20" s="26">
        <f t="shared" ref="N20:O20" si="23">B16</f>
        <v>77873.07</v>
      </c>
      <c r="O20" s="26">
        <f t="shared" si="23"/>
        <v>61853.07</v>
      </c>
      <c r="P20" s="26">
        <f>J13-J10</f>
        <v>4847.483025</v>
      </c>
      <c r="Q20" s="27">
        <f t="shared" si="21"/>
        <v>144573.623</v>
      </c>
      <c r="S20" s="76">
        <v>0.15</v>
      </c>
      <c r="T20" s="77">
        <v>0.0888</v>
      </c>
      <c r="U20" s="77">
        <v>0.0592</v>
      </c>
      <c r="V20" s="78">
        <v>0.0314</v>
      </c>
      <c r="W20" s="77">
        <v>0.0054</v>
      </c>
      <c r="X20" s="79">
        <v>-0.028</v>
      </c>
    </row>
    <row r="21">
      <c r="A21" s="15" t="s">
        <v>82</v>
      </c>
      <c r="B21" s="18">
        <v>320667.32</v>
      </c>
      <c r="C21" s="18">
        <v>97123.48</v>
      </c>
      <c r="D21" s="61"/>
      <c r="F21" s="69" t="s">
        <v>83</v>
      </c>
      <c r="G21" s="80">
        <f>G18*(1-G20)</f>
        <v>0.050625</v>
      </c>
      <c r="I21" s="71" t="s">
        <v>84</v>
      </c>
      <c r="M21" s="15" t="s">
        <v>85</v>
      </c>
      <c r="N21" s="26">
        <v>17942.99</v>
      </c>
      <c r="O21" s="26">
        <v>4191.65</v>
      </c>
      <c r="P21" s="26">
        <f>J30</f>
        <v>3750</v>
      </c>
      <c r="Q21" s="27">
        <f t="shared" si="21"/>
        <v>25884.64</v>
      </c>
      <c r="S21" s="76">
        <v>0.2</v>
      </c>
      <c r="T21" s="77">
        <v>0.084</v>
      </c>
      <c r="U21" s="77">
        <v>0.0534</v>
      </c>
      <c r="V21" s="78">
        <v>0.0248</v>
      </c>
      <c r="W21" s="81">
        <v>-0.002</v>
      </c>
      <c r="X21" s="79">
        <v>-0.0363</v>
      </c>
    </row>
    <row r="22">
      <c r="A22" s="30" t="s">
        <v>86</v>
      </c>
      <c r="B22" s="82">
        <v>284350.55</v>
      </c>
      <c r="C22" s="82">
        <v>92618.9</v>
      </c>
      <c r="D22" s="59" t="s">
        <v>87</v>
      </c>
      <c r="F22" s="15" t="s">
        <v>88</v>
      </c>
      <c r="G22" s="22">
        <f>G19*(1-G20)</f>
        <v>0.0375</v>
      </c>
      <c r="I22" s="71" t="s">
        <v>89</v>
      </c>
      <c r="M22" s="83" t="s">
        <v>90</v>
      </c>
      <c r="N22" s="26">
        <v>0.0</v>
      </c>
      <c r="O22" s="26">
        <v>11420.08</v>
      </c>
      <c r="P22" s="26">
        <v>0.0</v>
      </c>
      <c r="Q22" s="27">
        <f t="shared" si="21"/>
        <v>11420.08</v>
      </c>
      <c r="S22" s="84">
        <v>0.25</v>
      </c>
      <c r="T22" s="85">
        <v>0.0793</v>
      </c>
      <c r="U22" s="85">
        <v>0.0477</v>
      </c>
      <c r="V22" s="86">
        <v>0.0182</v>
      </c>
      <c r="W22" s="81">
        <v>-0.0093</v>
      </c>
      <c r="X22" s="79">
        <v>-0.0443</v>
      </c>
    </row>
    <row r="23">
      <c r="F23" s="12"/>
      <c r="G23" s="20"/>
      <c r="M23" s="15" t="s">
        <v>91</v>
      </c>
      <c r="N23" s="26">
        <v>0.0</v>
      </c>
      <c r="O23" s="26">
        <v>6783.61</v>
      </c>
      <c r="P23" s="26">
        <v>0.0</v>
      </c>
      <c r="Q23" s="27">
        <f t="shared" si="21"/>
        <v>6783.61</v>
      </c>
      <c r="S23" s="76">
        <v>0.3</v>
      </c>
      <c r="T23" s="77">
        <v>0.0745</v>
      </c>
      <c r="U23" s="77">
        <v>0.042</v>
      </c>
      <c r="V23" s="77">
        <v>0.0117</v>
      </c>
      <c r="W23" s="81">
        <v>-0.0164</v>
      </c>
      <c r="X23" s="79">
        <v>-0.0523</v>
      </c>
    </row>
    <row r="24">
      <c r="A24" s="9" t="s">
        <v>92</v>
      </c>
      <c r="B24" s="2"/>
      <c r="C24" s="2"/>
      <c r="D24" s="3"/>
      <c r="F24" s="15" t="s">
        <v>93</v>
      </c>
      <c r="G24" s="64">
        <v>0.015</v>
      </c>
      <c r="I24" s="11" t="s">
        <v>94</v>
      </c>
      <c r="J24" s="3"/>
      <c r="M24" s="30" t="s">
        <v>95</v>
      </c>
      <c r="N24" s="50">
        <v>11474.05</v>
      </c>
      <c r="O24" s="50">
        <v>537.87</v>
      </c>
      <c r="P24" s="50">
        <v>0.0</v>
      </c>
      <c r="Q24" s="33">
        <f t="shared" si="21"/>
        <v>12011.92</v>
      </c>
      <c r="S24" s="87">
        <v>0.35</v>
      </c>
      <c r="T24" s="88">
        <v>0.0698</v>
      </c>
      <c r="U24" s="88">
        <v>0.0364</v>
      </c>
      <c r="V24" s="88">
        <v>0.0053</v>
      </c>
      <c r="W24" s="89">
        <v>-0.0235</v>
      </c>
      <c r="X24" s="90">
        <v>-0.0601</v>
      </c>
    </row>
    <row r="25">
      <c r="A25" s="12"/>
      <c r="B25" s="13" t="s">
        <v>18</v>
      </c>
      <c r="C25" s="13" t="s">
        <v>19</v>
      </c>
      <c r="D25" s="17" t="s">
        <v>20</v>
      </c>
      <c r="F25" s="30" t="s">
        <v>96</v>
      </c>
      <c r="G25" s="91">
        <v>0.01</v>
      </c>
      <c r="I25" s="92" t="s">
        <v>97</v>
      </c>
      <c r="J25" s="8"/>
      <c r="M25" s="36" t="s">
        <v>98</v>
      </c>
      <c r="N25" s="93">
        <f t="shared" ref="N25:Q25" si="24">SUM(N17:N24)</f>
        <v>181798.9</v>
      </c>
      <c r="O25" s="40">
        <f t="shared" si="24"/>
        <v>121916.8</v>
      </c>
      <c r="P25" s="40">
        <f t="shared" si="24"/>
        <v>8597.483025</v>
      </c>
      <c r="Q25" s="55">
        <f t="shared" si="24"/>
        <v>312313.183</v>
      </c>
      <c r="S25" s="71" t="s">
        <v>53</v>
      </c>
    </row>
    <row r="26">
      <c r="A26" s="15" t="s">
        <v>99</v>
      </c>
      <c r="B26" s="18">
        <v>77452.0</v>
      </c>
      <c r="C26" s="18">
        <v>80314.0</v>
      </c>
      <c r="D26" s="94">
        <v>78124.0</v>
      </c>
      <c r="F26" s="71" t="s">
        <v>76</v>
      </c>
      <c r="I26" s="15" t="s">
        <v>100</v>
      </c>
      <c r="J26" s="94">
        <v>5000.0</v>
      </c>
      <c r="M26" s="12"/>
      <c r="N26" s="35"/>
      <c r="O26" s="35"/>
      <c r="P26" s="35"/>
      <c r="Q26" s="20"/>
      <c r="S26" s="71" t="s">
        <v>101</v>
      </c>
    </row>
    <row r="27">
      <c r="A27" s="15" t="s">
        <v>102</v>
      </c>
      <c r="B27" s="26">
        <v>35453.0</v>
      </c>
      <c r="C27" s="26">
        <v>37248.0</v>
      </c>
      <c r="D27" s="95">
        <v>37197.0</v>
      </c>
      <c r="F27" s="71" t="s">
        <v>103</v>
      </c>
      <c r="I27" s="30" t="s">
        <v>104</v>
      </c>
      <c r="J27" s="96">
        <v>10000.0</v>
      </c>
      <c r="K27" s="97"/>
      <c r="M27" s="15" t="s">
        <v>105</v>
      </c>
      <c r="N27" s="18">
        <v>33805.07</v>
      </c>
      <c r="O27" s="18">
        <v>24470.71</v>
      </c>
      <c r="P27" s="23">
        <f>(-O27)+G8</f>
        <v>-18887.0418</v>
      </c>
      <c r="Q27" s="16">
        <f t="shared" ref="Q27:Q32" si="25">SUM(N27:P27)</f>
        <v>39388.7382</v>
      </c>
      <c r="S27" s="71" t="s">
        <v>106</v>
      </c>
    </row>
    <row r="28">
      <c r="A28" s="15" t="s">
        <v>107</v>
      </c>
      <c r="B28" s="26">
        <v>31059.0</v>
      </c>
      <c r="C28" s="26">
        <v>32611.0</v>
      </c>
      <c r="D28" s="95">
        <v>32467.0</v>
      </c>
      <c r="F28" s="71" t="s">
        <v>108</v>
      </c>
      <c r="I28" s="15" t="s">
        <v>109</v>
      </c>
      <c r="J28" s="16">
        <f>J26+J27</f>
        <v>15000</v>
      </c>
      <c r="K28" s="98"/>
      <c r="M28" s="15" t="s">
        <v>110</v>
      </c>
      <c r="N28" s="26">
        <v>0.0</v>
      </c>
      <c r="O28" s="26">
        <v>80.0</v>
      </c>
      <c r="P28" s="34">
        <f>-O28</f>
        <v>-80</v>
      </c>
      <c r="Q28" s="27">
        <f t="shared" si="25"/>
        <v>0</v>
      </c>
    </row>
    <row r="29">
      <c r="A29" s="15" t="s">
        <v>111</v>
      </c>
      <c r="B29" s="99">
        <v>21840.0</v>
      </c>
      <c r="C29" s="26">
        <v>22931.0</v>
      </c>
      <c r="D29" s="95">
        <v>22959.0</v>
      </c>
      <c r="F29" s="71" t="s">
        <v>112</v>
      </c>
      <c r="I29" s="30" t="s">
        <v>113</v>
      </c>
      <c r="J29" s="91">
        <v>0.25</v>
      </c>
      <c r="M29" s="15" t="s">
        <v>114</v>
      </c>
      <c r="N29" s="26">
        <v>18233.48</v>
      </c>
      <c r="O29" s="26">
        <v>5612.32</v>
      </c>
      <c r="P29" s="34">
        <f>(-O29)+(D53-G8)</f>
        <v>1534.775298</v>
      </c>
      <c r="Q29" s="27">
        <f t="shared" si="25"/>
        <v>25380.5753</v>
      </c>
      <c r="S29" s="11" t="s">
        <v>115</v>
      </c>
      <c r="T29" s="2"/>
      <c r="U29" s="2"/>
      <c r="V29" s="2"/>
      <c r="W29" s="2"/>
      <c r="X29" s="3"/>
    </row>
    <row r="30">
      <c r="A30" s="15" t="s">
        <v>116</v>
      </c>
      <c r="B30" s="100">
        <v>0.6685</v>
      </c>
      <c r="C30" s="100">
        <v>0.7012</v>
      </c>
      <c r="D30" s="101">
        <v>0.7174</v>
      </c>
      <c r="F30" s="71" t="s">
        <v>117</v>
      </c>
      <c r="I30" s="15" t="s">
        <v>118</v>
      </c>
      <c r="J30" s="16">
        <f>J28*J29</f>
        <v>3750</v>
      </c>
      <c r="M30" s="15" t="s">
        <v>119</v>
      </c>
      <c r="N30" s="26">
        <v>-3117.82</v>
      </c>
      <c r="O30" s="26">
        <v>-2078.08</v>
      </c>
      <c r="P30" s="34">
        <f>ABS(O30)</f>
        <v>2078.08</v>
      </c>
      <c r="Q30" s="27">
        <f t="shared" si="25"/>
        <v>-3117.82</v>
      </c>
      <c r="S30" s="68"/>
      <c r="T30" s="13" t="s">
        <v>120</v>
      </c>
      <c r="U30" s="7"/>
      <c r="V30" s="7"/>
      <c r="W30" s="7"/>
      <c r="X30" s="8"/>
    </row>
    <row r="31">
      <c r="A31" s="12"/>
      <c r="B31" s="35"/>
      <c r="C31" s="35"/>
      <c r="D31" s="20"/>
      <c r="F31" s="71" t="s">
        <v>121</v>
      </c>
      <c r="I31" s="15"/>
      <c r="J31" s="20"/>
      <c r="M31" s="15" t="s">
        <v>122</v>
      </c>
      <c r="N31" s="26">
        <v>22054.26</v>
      </c>
      <c r="O31" s="26">
        <v>414.59</v>
      </c>
      <c r="P31" s="34">
        <f>-O31</f>
        <v>-414.59</v>
      </c>
      <c r="Q31" s="27">
        <f t="shared" si="25"/>
        <v>22054.26</v>
      </c>
      <c r="S31" s="102" t="s">
        <v>123</v>
      </c>
      <c r="T31" s="103">
        <v>0.0575</v>
      </c>
      <c r="U31" s="103">
        <v>0.0625</v>
      </c>
      <c r="V31" s="104">
        <v>0.0675</v>
      </c>
      <c r="W31" s="103">
        <v>0.0725</v>
      </c>
      <c r="X31" s="105">
        <v>0.0775</v>
      </c>
    </row>
    <row r="32">
      <c r="A32" s="15" t="s">
        <v>124</v>
      </c>
      <c r="B32" s="18">
        <v>25271.0</v>
      </c>
      <c r="C32" s="18">
        <v>25713.0</v>
      </c>
      <c r="D32" s="94">
        <v>25090.0</v>
      </c>
      <c r="F32" s="71" t="s">
        <v>125</v>
      </c>
      <c r="I32" s="15" t="s">
        <v>126</v>
      </c>
      <c r="J32" s="16">
        <f>J28-J30</f>
        <v>11250</v>
      </c>
      <c r="M32" s="30" t="s">
        <v>127</v>
      </c>
      <c r="N32" s="50">
        <v>213374.76</v>
      </c>
      <c r="O32" s="50">
        <v>64119.36</v>
      </c>
      <c r="P32" s="38">
        <f>(-O32)-J9+J44</f>
        <v>15302.72315</v>
      </c>
      <c r="Q32" s="33">
        <f t="shared" si="25"/>
        <v>292796.8432</v>
      </c>
      <c r="S32" s="106">
        <v>0.0</v>
      </c>
      <c r="T32" s="77">
        <v>0.0041</v>
      </c>
      <c r="U32" s="77">
        <v>0.0034</v>
      </c>
      <c r="V32" s="78">
        <v>0.0027</v>
      </c>
      <c r="W32" s="77">
        <v>0.002</v>
      </c>
      <c r="X32" s="107">
        <v>0.0013</v>
      </c>
    </row>
    <row r="33">
      <c r="A33" s="15" t="s">
        <v>128</v>
      </c>
      <c r="B33" s="26">
        <v>10677.0</v>
      </c>
      <c r="C33" s="26">
        <v>10813.0</v>
      </c>
      <c r="D33" s="95">
        <v>11066.0</v>
      </c>
      <c r="F33" s="71" t="s">
        <v>129</v>
      </c>
      <c r="I33" s="108"/>
      <c r="J33" s="109"/>
      <c r="K33" s="71"/>
      <c r="M33" s="15" t="s">
        <v>130</v>
      </c>
      <c r="N33" s="21">
        <f t="shared" ref="N33:O33" si="26">B22</f>
        <v>284350.55</v>
      </c>
      <c r="O33" s="21">
        <f t="shared" si="26"/>
        <v>92618.9</v>
      </c>
      <c r="P33" s="23">
        <f t="shared" ref="P33:Q33" si="27">SUM(P27:P32)</f>
        <v>-466.05335</v>
      </c>
      <c r="Q33" s="16">
        <f t="shared" si="27"/>
        <v>376502.5967</v>
      </c>
      <c r="S33" s="106">
        <v>325.0</v>
      </c>
      <c r="T33" s="77">
        <v>0.011</v>
      </c>
      <c r="U33" s="77">
        <v>0.0103</v>
      </c>
      <c r="V33" s="78">
        <v>0.0096</v>
      </c>
      <c r="W33" s="77">
        <v>0.0089</v>
      </c>
      <c r="X33" s="107">
        <v>0.0082</v>
      </c>
    </row>
    <row r="34">
      <c r="A34" s="15" t="s">
        <v>131</v>
      </c>
      <c r="B34" s="26">
        <v>8903.0</v>
      </c>
      <c r="C34" s="26">
        <v>8842.0</v>
      </c>
      <c r="D34" s="95">
        <v>8841.0</v>
      </c>
      <c r="F34" s="71" t="s">
        <v>132</v>
      </c>
      <c r="I34" s="92" t="s">
        <v>133</v>
      </c>
      <c r="J34" s="8"/>
      <c r="M34" s="30" t="s">
        <v>134</v>
      </c>
      <c r="N34" s="50">
        <v>36316.77</v>
      </c>
      <c r="O34" s="50">
        <v>4504.58</v>
      </c>
      <c r="P34" s="50">
        <v>0.0</v>
      </c>
      <c r="Q34" s="33">
        <f>SUM(N34:P34)</f>
        <v>40821.35</v>
      </c>
      <c r="S34" s="110">
        <v>650.0</v>
      </c>
      <c r="T34" s="85">
        <v>0.0178</v>
      </c>
      <c r="U34" s="85">
        <v>0.0171</v>
      </c>
      <c r="V34" s="86">
        <v>0.0164</v>
      </c>
      <c r="W34" s="77">
        <v>0.0157</v>
      </c>
      <c r="X34" s="107">
        <v>0.0151</v>
      </c>
    </row>
    <row r="35">
      <c r="A35" s="15" t="s">
        <v>135</v>
      </c>
      <c r="B35" s="26">
        <v>4255.0</v>
      </c>
      <c r="C35" s="26">
        <v>4138.0</v>
      </c>
      <c r="D35" s="95">
        <v>3960.0</v>
      </c>
      <c r="F35" s="71" t="s">
        <v>136</v>
      </c>
      <c r="I35" s="15" t="s">
        <v>23</v>
      </c>
      <c r="J35" s="16">
        <f>D43</f>
        <v>19585.79</v>
      </c>
      <c r="M35" s="111" t="s">
        <v>82</v>
      </c>
      <c r="N35" s="112">
        <f t="shared" ref="N35:Q35" si="28">N33+N34</f>
        <v>320667.32</v>
      </c>
      <c r="O35" s="112">
        <f t="shared" si="28"/>
        <v>97123.48</v>
      </c>
      <c r="P35" s="113">
        <f t="shared" si="28"/>
        <v>-466.05335</v>
      </c>
      <c r="Q35" s="114">
        <f t="shared" si="28"/>
        <v>417323.9467</v>
      </c>
      <c r="S35" s="106">
        <v>975.0</v>
      </c>
      <c r="T35" s="77">
        <v>0.0247</v>
      </c>
      <c r="U35" s="77">
        <v>0.024</v>
      </c>
      <c r="V35" s="77">
        <v>0.0233</v>
      </c>
      <c r="W35" s="77">
        <v>0.0226</v>
      </c>
      <c r="X35" s="107">
        <v>0.0219</v>
      </c>
    </row>
    <row r="36">
      <c r="A36" s="30" t="s">
        <v>137</v>
      </c>
      <c r="B36" s="115">
        <v>0.1886</v>
      </c>
      <c r="C36" s="115">
        <v>0.18</v>
      </c>
      <c r="D36" s="116">
        <v>0.1769</v>
      </c>
      <c r="F36" s="71" t="s">
        <v>138</v>
      </c>
      <c r="I36" s="12"/>
      <c r="J36" s="20"/>
      <c r="M36" s="117"/>
      <c r="N36" s="118"/>
      <c r="O36" s="118"/>
      <c r="P36" s="118"/>
      <c r="Q36" s="119"/>
      <c r="S36" s="120">
        <v>1300.0</v>
      </c>
      <c r="T36" s="88">
        <v>0.0315</v>
      </c>
      <c r="U36" s="88">
        <v>0.0308</v>
      </c>
      <c r="V36" s="88">
        <v>0.0301</v>
      </c>
      <c r="W36" s="88">
        <v>0.0295</v>
      </c>
      <c r="X36" s="121">
        <v>0.0288</v>
      </c>
    </row>
    <row r="37">
      <c r="F37" s="71" t="s">
        <v>139</v>
      </c>
      <c r="I37" s="15" t="s">
        <v>140</v>
      </c>
      <c r="J37" s="27">
        <f>C22</f>
        <v>92618.9</v>
      </c>
      <c r="M37" s="111" t="s">
        <v>141</v>
      </c>
      <c r="N37" s="122">
        <f t="shared" ref="N37:P37" si="29">N25+N35</f>
        <v>502466.22</v>
      </c>
      <c r="O37" s="112">
        <f t="shared" si="29"/>
        <v>219040.28</v>
      </c>
      <c r="P37" s="112">
        <f t="shared" si="29"/>
        <v>8131.429675</v>
      </c>
      <c r="Q37" s="123">
        <f>SUM(N37:P37)</f>
        <v>729637.9297</v>
      </c>
      <c r="S37" s="71" t="s">
        <v>53</v>
      </c>
    </row>
    <row r="38">
      <c r="B38" s="10" t="s">
        <v>142</v>
      </c>
      <c r="C38" s="2"/>
      <c r="D38" s="3"/>
      <c r="I38" s="15" t="s">
        <v>143</v>
      </c>
      <c r="J38" s="95">
        <v>4567.24</v>
      </c>
      <c r="M38" s="12"/>
      <c r="N38" s="35"/>
      <c r="O38" s="35"/>
      <c r="P38" s="35"/>
      <c r="Q38" s="20"/>
      <c r="S38" s="71" t="s">
        <v>144</v>
      </c>
    </row>
    <row r="39">
      <c r="B39" s="15" t="s">
        <v>145</v>
      </c>
      <c r="D39" s="16">
        <f>C7</f>
        <v>0.7</v>
      </c>
      <c r="F39" s="10" t="s">
        <v>146</v>
      </c>
      <c r="G39" s="3"/>
      <c r="I39" s="30" t="s">
        <v>147</v>
      </c>
      <c r="J39" s="33">
        <f>J32</f>
        <v>11250</v>
      </c>
      <c r="M39" s="65" t="s">
        <v>71</v>
      </c>
      <c r="N39" s="66">
        <f t="shared" ref="N39:Q39" si="30">N15-N37</f>
        <v>0</v>
      </c>
      <c r="O39" s="66">
        <f t="shared" si="30"/>
        <v>0</v>
      </c>
      <c r="P39" s="124">
        <f t="shared" si="30"/>
        <v>0</v>
      </c>
      <c r="Q39" s="125">
        <f t="shared" si="30"/>
        <v>0</v>
      </c>
    </row>
    <row r="40">
      <c r="B40" s="30" t="s">
        <v>148</v>
      </c>
      <c r="C40" s="7"/>
      <c r="D40" s="91">
        <v>0.25</v>
      </c>
      <c r="F40" s="15" t="s">
        <v>149</v>
      </c>
      <c r="G40" s="94">
        <v>650.0</v>
      </c>
      <c r="I40" s="15" t="s">
        <v>150</v>
      </c>
      <c r="J40" s="126">
        <f>J37-J38+J39</f>
        <v>99301.66</v>
      </c>
    </row>
    <row r="41">
      <c r="B41" s="36" t="s">
        <v>151</v>
      </c>
      <c r="D41" s="55">
        <f>D39*(1+D40)</f>
        <v>0.875</v>
      </c>
      <c r="F41" s="15" t="s">
        <v>152</v>
      </c>
      <c r="G41" s="64">
        <v>0.25</v>
      </c>
      <c r="I41" s="12"/>
      <c r="J41" s="20"/>
      <c r="M41" s="11" t="s">
        <v>153</v>
      </c>
      <c r="N41" s="2"/>
      <c r="O41" s="2"/>
      <c r="P41" s="3"/>
    </row>
    <row r="42">
      <c r="B42" s="30" t="s">
        <v>154</v>
      </c>
      <c r="C42" s="7"/>
      <c r="D42" s="33">
        <f>C8</f>
        <v>22383.76</v>
      </c>
      <c r="F42" s="15" t="s">
        <v>155</v>
      </c>
      <c r="G42" s="64">
        <v>0.75</v>
      </c>
      <c r="I42" s="15" t="s">
        <v>156</v>
      </c>
      <c r="J42" s="127">
        <f>J35-J40</f>
        <v>-79715.87</v>
      </c>
      <c r="M42" s="12"/>
      <c r="N42" s="13" t="s">
        <v>18</v>
      </c>
      <c r="O42" s="13" t="s">
        <v>19</v>
      </c>
      <c r="P42" s="17" t="s">
        <v>20</v>
      </c>
    </row>
    <row r="43">
      <c r="B43" s="128" t="s">
        <v>157</v>
      </c>
      <c r="C43" s="7"/>
      <c r="D43" s="129">
        <f>D41*D42</f>
        <v>19585.79</v>
      </c>
      <c r="F43" s="30" t="s">
        <v>158</v>
      </c>
      <c r="G43" s="91">
        <v>1.0</v>
      </c>
      <c r="I43" s="36" t="s">
        <v>159</v>
      </c>
      <c r="J43" s="55">
        <f>MAX(0, J35-J40)</f>
        <v>0</v>
      </c>
      <c r="M43" s="15" t="s">
        <v>160</v>
      </c>
      <c r="N43" s="21">
        <f t="shared" ref="N43:P43" si="31">B29</f>
        <v>21840</v>
      </c>
      <c r="O43" s="21">
        <f t="shared" si="31"/>
        <v>22931</v>
      </c>
      <c r="P43" s="16">
        <f t="shared" si="31"/>
        <v>22959</v>
      </c>
    </row>
    <row r="44">
      <c r="B44" s="71" t="s">
        <v>53</v>
      </c>
      <c r="F44" s="71" t="s">
        <v>76</v>
      </c>
      <c r="I44" s="130" t="s">
        <v>161</v>
      </c>
      <c r="J44" s="131">
        <f>MAX(0, J40-J35)</f>
        <v>79715.87</v>
      </c>
      <c r="M44" s="30" t="s">
        <v>162</v>
      </c>
      <c r="N44" s="38">
        <f t="shared" ref="N44:P44" si="32">B35</f>
        <v>4255</v>
      </c>
      <c r="O44" s="38">
        <f t="shared" si="32"/>
        <v>4138</v>
      </c>
      <c r="P44" s="33">
        <f t="shared" si="32"/>
        <v>3960</v>
      </c>
    </row>
    <row r="45">
      <c r="B45" s="132" t="s">
        <v>163</v>
      </c>
      <c r="F45" s="71" t="s">
        <v>164</v>
      </c>
      <c r="I45" s="71" t="s">
        <v>76</v>
      </c>
      <c r="M45" s="15" t="s">
        <v>165</v>
      </c>
      <c r="N45" s="21">
        <f t="shared" ref="N45:P45" si="33">N43+N44</f>
        <v>26095</v>
      </c>
      <c r="O45" s="21">
        <f t="shared" si="33"/>
        <v>27069</v>
      </c>
      <c r="P45" s="16">
        <f t="shared" si="33"/>
        <v>26919</v>
      </c>
    </row>
    <row r="46">
      <c r="B46" s="71" t="s">
        <v>166</v>
      </c>
      <c r="F46" s="71" t="s">
        <v>167</v>
      </c>
      <c r="I46" s="71" t="s">
        <v>168</v>
      </c>
      <c r="M46" s="12"/>
      <c r="N46" s="35"/>
      <c r="O46" s="35"/>
      <c r="P46" s="20"/>
    </row>
    <row r="47">
      <c r="B47" s="71" t="s">
        <v>169</v>
      </c>
      <c r="F47" s="71" t="s">
        <v>170</v>
      </c>
      <c r="I47" s="71" t="s">
        <v>171</v>
      </c>
      <c r="M47" s="133" t="s">
        <v>172</v>
      </c>
      <c r="N47" s="35"/>
      <c r="O47" s="35"/>
      <c r="P47" s="20"/>
    </row>
    <row r="48">
      <c r="B48" s="71"/>
      <c r="C48" s="71"/>
      <c r="D48" s="71"/>
      <c r="F48" s="71" t="s">
        <v>173</v>
      </c>
      <c r="I48" s="71" t="s">
        <v>174</v>
      </c>
      <c r="M48" s="15" t="s">
        <v>175</v>
      </c>
      <c r="N48" s="21">
        <f>G40*G41</f>
        <v>162.5</v>
      </c>
      <c r="O48" s="21">
        <f>G40*G42</f>
        <v>487.5</v>
      </c>
      <c r="P48" s="16">
        <f>G40*G43</f>
        <v>650</v>
      </c>
    </row>
    <row r="49">
      <c r="B49" s="10" t="s">
        <v>176</v>
      </c>
      <c r="C49" s="2"/>
      <c r="D49" s="3"/>
      <c r="F49" s="71" t="s">
        <v>177</v>
      </c>
      <c r="I49" s="71"/>
      <c r="M49" s="15" t="s">
        <v>178</v>
      </c>
      <c r="N49" s="34">
        <f t="shared" ref="N49:P49" si="34">-($J$13*$G$18)</f>
        <v>-330.5102063</v>
      </c>
      <c r="O49" s="34">
        <f t="shared" si="34"/>
        <v>-330.5102063</v>
      </c>
      <c r="P49" s="27">
        <f t="shared" si="34"/>
        <v>-330.5102063</v>
      </c>
    </row>
    <row r="50">
      <c r="B50" s="12"/>
      <c r="C50" s="13" t="s">
        <v>179</v>
      </c>
      <c r="D50" s="17" t="s">
        <v>180</v>
      </c>
      <c r="F50" s="71" t="s">
        <v>181</v>
      </c>
      <c r="I50" s="71"/>
      <c r="M50" s="15" t="s">
        <v>182</v>
      </c>
      <c r="N50" s="34">
        <f t="shared" ref="N50:P50" si="35">-($J$10/5)</f>
        <v>-9.792895</v>
      </c>
      <c r="O50" s="34">
        <f t="shared" si="35"/>
        <v>-9.792895</v>
      </c>
      <c r="P50" s="27">
        <f t="shared" si="35"/>
        <v>-9.792895</v>
      </c>
    </row>
    <row r="51">
      <c r="B51" s="15" t="s">
        <v>183</v>
      </c>
      <c r="C51" s="134">
        <v>0.1</v>
      </c>
      <c r="D51" s="16">
        <f t="shared" ref="D51:D53" si="37">$D$43*C51</f>
        <v>1958.579</v>
      </c>
      <c r="F51" s="71" t="s">
        <v>184</v>
      </c>
      <c r="I51" s="71"/>
      <c r="M51" s="30" t="s">
        <v>185</v>
      </c>
      <c r="N51" s="38">
        <f t="shared" ref="N51:P51" si="36">-($J$15*$G$19)</f>
        <v>-115.0665163</v>
      </c>
      <c r="O51" s="38">
        <f t="shared" si="36"/>
        <v>-115.0665163</v>
      </c>
      <c r="P51" s="33">
        <f t="shared" si="36"/>
        <v>-115.0665163</v>
      </c>
    </row>
    <row r="52">
      <c r="B52" s="15" t="s">
        <v>186</v>
      </c>
      <c r="C52" s="134">
        <v>0.25</v>
      </c>
      <c r="D52" s="16">
        <f t="shared" si="37"/>
        <v>4896.4475</v>
      </c>
      <c r="I52" s="71"/>
      <c r="M52" s="15" t="s">
        <v>187</v>
      </c>
      <c r="N52" s="23">
        <f t="shared" ref="N52:P52" si="38">SUM(N48:N51)</f>
        <v>-292.8696175</v>
      </c>
      <c r="O52" s="23">
        <f t="shared" si="38"/>
        <v>32.1303825</v>
      </c>
      <c r="P52" s="127">
        <f t="shared" si="38"/>
        <v>194.6303825</v>
      </c>
    </row>
    <row r="53">
      <c r="B53" s="30" t="s">
        <v>188</v>
      </c>
      <c r="C53" s="135">
        <v>0.65</v>
      </c>
      <c r="D53" s="136">
        <f t="shared" si="37"/>
        <v>12730.7635</v>
      </c>
      <c r="I53" s="71"/>
      <c r="M53" s="30" t="s">
        <v>189</v>
      </c>
      <c r="N53" s="38">
        <f t="shared" ref="N53:P53" si="39">N52*$G$20</f>
        <v>-73.21740438</v>
      </c>
      <c r="O53" s="38">
        <f t="shared" si="39"/>
        <v>8.032595625</v>
      </c>
      <c r="P53" s="33">
        <f t="shared" si="39"/>
        <v>48.65759563</v>
      </c>
    </row>
    <row r="54">
      <c r="B54" s="128" t="s">
        <v>190</v>
      </c>
      <c r="C54" s="137">
        <f t="shared" ref="C54:D54" si="40">SUM(C51:C53)</f>
        <v>1</v>
      </c>
      <c r="D54" s="129">
        <f t="shared" si="40"/>
        <v>19585.79</v>
      </c>
      <c r="M54" s="15" t="s">
        <v>191</v>
      </c>
      <c r="N54" s="23">
        <f t="shared" ref="N54:P54" si="41">N52-N53</f>
        <v>-219.6522131</v>
      </c>
      <c r="O54" s="23">
        <f t="shared" si="41"/>
        <v>24.09778688</v>
      </c>
      <c r="P54" s="127">
        <f t="shared" si="41"/>
        <v>145.9727869</v>
      </c>
    </row>
    <row r="55">
      <c r="B55" s="71" t="s">
        <v>76</v>
      </c>
      <c r="M55" s="12"/>
      <c r="N55" s="35"/>
      <c r="O55" s="35"/>
      <c r="P55" s="20"/>
    </row>
    <row r="56">
      <c r="B56" s="71" t="s">
        <v>192</v>
      </c>
      <c r="M56" s="128" t="s">
        <v>193</v>
      </c>
      <c r="N56" s="138">
        <f t="shared" ref="N56:P56" si="42">N45+N54</f>
        <v>25875.34779</v>
      </c>
      <c r="O56" s="138">
        <f t="shared" si="42"/>
        <v>27093.09779</v>
      </c>
      <c r="P56" s="129">
        <f t="shared" si="42"/>
        <v>27064.97279</v>
      </c>
    </row>
    <row r="57">
      <c r="B57" s="71" t="s">
        <v>194</v>
      </c>
    </row>
    <row r="58">
      <c r="B58" s="71" t="s">
        <v>195</v>
      </c>
    </row>
    <row r="59">
      <c r="B59" s="71" t="s">
        <v>196</v>
      </c>
    </row>
    <row r="60">
      <c r="B60" s="71" t="s">
        <v>197</v>
      </c>
    </row>
    <row r="61">
      <c r="B61" s="71" t="s">
        <v>198</v>
      </c>
    </row>
    <row r="62">
      <c r="B62" s="71" t="s">
        <v>199</v>
      </c>
    </row>
    <row r="63">
      <c r="B63" s="71" t="s">
        <v>200</v>
      </c>
    </row>
    <row r="64">
      <c r="B64" s="71" t="s">
        <v>201</v>
      </c>
    </row>
  </sheetData>
  <mergeCells count="91">
    <mergeCell ref="B41:C41"/>
    <mergeCell ref="B42:C42"/>
    <mergeCell ref="B43:C43"/>
    <mergeCell ref="B44:D44"/>
    <mergeCell ref="F44:G44"/>
    <mergeCell ref="F45:G45"/>
    <mergeCell ref="I45:J45"/>
    <mergeCell ref="I50:J50"/>
    <mergeCell ref="I51:J51"/>
    <mergeCell ref="I52:J52"/>
    <mergeCell ref="I53:J53"/>
    <mergeCell ref="B45:D45"/>
    <mergeCell ref="B46:D46"/>
    <mergeCell ref="F46:G46"/>
    <mergeCell ref="I46:J46"/>
    <mergeCell ref="B47:D47"/>
    <mergeCell ref="B49:D49"/>
    <mergeCell ref="I49:J49"/>
    <mergeCell ref="B59:D59"/>
    <mergeCell ref="B60:D60"/>
    <mergeCell ref="B61:D61"/>
    <mergeCell ref="B62:D62"/>
    <mergeCell ref="B63:D63"/>
    <mergeCell ref="B64:D64"/>
    <mergeCell ref="F47:G47"/>
    <mergeCell ref="F50:G50"/>
    <mergeCell ref="F51:G51"/>
    <mergeCell ref="B55:D55"/>
    <mergeCell ref="B56:D56"/>
    <mergeCell ref="B57:D57"/>
    <mergeCell ref="B58:D58"/>
    <mergeCell ref="S6:T6"/>
    <mergeCell ref="S7:T7"/>
    <mergeCell ref="S8:T8"/>
    <mergeCell ref="S9:T9"/>
    <mergeCell ref="S10:T10"/>
    <mergeCell ref="S11:T11"/>
    <mergeCell ref="S5:W5"/>
    <mergeCell ref="S12:T12"/>
    <mergeCell ref="S13:T13"/>
    <mergeCell ref="S14:T14"/>
    <mergeCell ref="S15:T15"/>
    <mergeCell ref="S17:X17"/>
    <mergeCell ref="T18:X18"/>
    <mergeCell ref="S25:X25"/>
    <mergeCell ref="S27:X27"/>
    <mergeCell ref="S26:X26"/>
    <mergeCell ref="T30:X30"/>
    <mergeCell ref="S29:X29"/>
    <mergeCell ref="S37:X37"/>
    <mergeCell ref="S38:X38"/>
    <mergeCell ref="F5:G5"/>
    <mergeCell ref="F14:G14"/>
    <mergeCell ref="F15:G15"/>
    <mergeCell ref="F17:G17"/>
    <mergeCell ref="I19:K19"/>
    <mergeCell ref="I20:K20"/>
    <mergeCell ref="I21:K21"/>
    <mergeCell ref="I22:K22"/>
    <mergeCell ref="A24:D24"/>
    <mergeCell ref="I24:J24"/>
    <mergeCell ref="I25:J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I34:J34"/>
    <mergeCell ref="F35:G35"/>
    <mergeCell ref="F36:G36"/>
    <mergeCell ref="F37:G37"/>
    <mergeCell ref="B38:D38"/>
    <mergeCell ref="B39:C39"/>
    <mergeCell ref="F39:G39"/>
    <mergeCell ref="B40:C40"/>
    <mergeCell ref="I47:J47"/>
    <mergeCell ref="I48:J48"/>
    <mergeCell ref="M41:P41"/>
    <mergeCell ref="F48:G48"/>
    <mergeCell ref="F49:G49"/>
    <mergeCell ref="A5:D5"/>
    <mergeCell ref="I5:K5"/>
    <mergeCell ref="M5:Q5"/>
    <mergeCell ref="A11:D11"/>
    <mergeCell ref="A1:W1"/>
    <mergeCell ref="A2:W2"/>
    <mergeCell ref="A3:W3"/>
  </mergeCells>
  <drawing r:id="rId1"/>
</worksheet>
</file>